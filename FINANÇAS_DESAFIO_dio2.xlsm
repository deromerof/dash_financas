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slicers/slicer2.xml" ContentType="application/vnd.ms-excel.slicer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b9e207956491913/Área de Trabalho/BOOTCAMP_CAIXA_IA/"/>
    </mc:Choice>
  </mc:AlternateContent>
  <xr:revisionPtr revIDLastSave="147" documentId="8_{3294D94D-446D-4DE7-9198-3183A5FFCC07}" xr6:coauthVersionLast="47" xr6:coauthVersionMax="47" xr10:uidLastSave="{1D327BFF-291D-45E4-980B-8FA88A7054E1}"/>
  <bookViews>
    <workbookView xWindow="-120" yWindow="-120" windowWidth="20730" windowHeight="11040" tabRatio="0" xr2:uid="{B9E2A7CA-431C-4ED1-B151-9509BBF34112}"/>
  </bookViews>
  <sheets>
    <sheet name="DASH" sheetId="5" r:id="rId1"/>
    <sheet name="RF" sheetId="1" state="hidden" r:id="rId2"/>
    <sheet name="RV" sheetId="3" state="hidden" r:id="rId3"/>
    <sheet name="TUDO" sheetId="7" state="hidden" r:id="rId4"/>
  </sheets>
  <definedNames>
    <definedName name="SegmentaçãodeDados_CLASSIFICAÇÃO">#N/A</definedName>
    <definedName name="SegmentaçãodeDados_CLASSIFICAÇÃO1">#N/A</definedName>
    <definedName name="SegmentaçãodeDados_DATA">#N/A</definedName>
    <definedName name="SegmentaçãodeDados_DATA1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8"/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A1" i="5"/>
  <c r="C8" i="1"/>
  <c r="C7" i="1"/>
  <c r="C6" i="1"/>
  <c r="C5" i="1"/>
  <c r="E6" i="3" a="1"/>
  <c r="E6" i="3" s="1"/>
  <c r="E7" i="3" a="1"/>
  <c r="E7" i="3" s="1"/>
  <c r="E8" i="3" a="1"/>
  <c r="E8" i="3" s="1"/>
  <c r="E5" i="3" a="1"/>
  <c r="E5" i="3" s="1"/>
  <c r="F7" i="3"/>
  <c r="F8" i="3"/>
  <c r="H20" i="7"/>
  <c r="F6" i="3" l="1"/>
  <c r="G6" i="3" s="1"/>
  <c r="G7" i="3"/>
  <c r="H7" i="3" s="1"/>
  <c r="G8" i="3"/>
  <c r="H8" i="3" s="1"/>
  <c r="H6" i="3" l="1"/>
  <c r="F5" i="3"/>
  <c r="G5" i="3" s="1"/>
  <c r="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11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<sst xmlns="http://schemas.openxmlformats.org/spreadsheetml/2006/main" count="199" uniqueCount="35">
  <si>
    <t>DATA</t>
  </si>
  <si>
    <t>Coluna1</t>
  </si>
  <si>
    <t>Coluna2</t>
  </si>
  <si>
    <t>ATIVO</t>
  </si>
  <si>
    <t>TOTAL INVESTIDO</t>
  </si>
  <si>
    <t>META</t>
  </si>
  <si>
    <t>CDB</t>
  </si>
  <si>
    <t>LCI</t>
  </si>
  <si>
    <t>CRA</t>
  </si>
  <si>
    <t>FUNDO RF</t>
  </si>
  <si>
    <t>12//01/24</t>
  </si>
  <si>
    <t>CATEGORIA</t>
  </si>
  <si>
    <t>AÇÃO</t>
  </si>
  <si>
    <t>FII</t>
  </si>
  <si>
    <t>QTD ATIVO</t>
  </si>
  <si>
    <t>VALOR INVESTIDO</t>
  </si>
  <si>
    <t>VALOR DA AÇÃO</t>
  </si>
  <si>
    <t>PREÇO MÉDIO</t>
  </si>
  <si>
    <t>LUCRO OU PREJUIZO</t>
  </si>
  <si>
    <t>Rótulos de Linha</t>
  </si>
  <si>
    <t>Caixa Seguridade Participações S.A (BVMF:CXSE3)</t>
  </si>
  <si>
    <t>FDO INV IMOB KINEA RENDA IMOBILIARIA CF (BVMF:KNRI11)</t>
  </si>
  <si>
    <t>Itaú Unibanco Holding S.A. (BVMF:ITUB4)</t>
  </si>
  <si>
    <t>Petróleo Brasileiro S.A. (Petrobras) (BVMF:PETR4)</t>
  </si>
  <si>
    <t>Total Geral</t>
  </si>
  <si>
    <t>Soma de VALOR INVESTIDO</t>
  </si>
  <si>
    <t>VALOR TOTAL</t>
  </si>
  <si>
    <t>INVESTIMENTO MENSAL</t>
  </si>
  <si>
    <t>CLASSIFICAÇÃO</t>
  </si>
  <si>
    <t>RENDA FIXA</t>
  </si>
  <si>
    <t>RENDA VARIÁVEL</t>
  </si>
  <si>
    <t>INVESTIMENTOS EM RENDA FIXA</t>
  </si>
  <si>
    <t>QUADRO RESUMO</t>
  </si>
  <si>
    <t>INVESTIMENTOS EM RENDA VARIÁVEL</t>
  </si>
  <si>
    <t>Dê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</si>
</sst>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[$-416]mmm\-yy;@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2">
    <xf numFmtId="0" fontId="0" fillId="0" borderId="0" xfId="0"/>
    <xf numFmtId="44" fontId="0" fillId="0" borderId="0" xfId="1" applyFont="1"/>
    <xf numFmtId="1" fontId="0" fillId="0" borderId="0" xfId="0" applyNumberFormat="1"/>
    <xf numFmtId="44" fontId="0" fillId="0" borderId="0" xfId="0" applyNumberFormat="1"/>
    <xf numFmtId="164" fontId="0" fillId="0" borderId="0" xfId="0" applyNumberFormat="1"/>
    <xf numFmtId="0" fontId="0" fillId="2" borderId="0" xfId="0" applyFill="1"/>
    <xf numFmtId="0" fontId="4" fillId="2" borderId="0" xfId="0" applyFont="1" applyFill="1" applyAlignment="1">
      <alignment horizontal="center" vertical="top"/>
    </xf>
    <xf numFmtId="22" fontId="0" fillId="2" borderId="0" xfId="0" applyNumberFormat="1" applyFill="1"/>
    <xf numFmtId="22" fontId="3" fillId="2" borderId="0" xfId="0" applyNumberFormat="1" applyFont="1" applyFill="1" applyAlignment="1">
      <alignment horizontal="center"/>
    </xf>
    <xf numFmtId="0" fontId="0" fillId="4" borderId="2" xfId="0" applyFill="1" applyBorder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4" xfId="0" applyFont="1" applyFill="1" applyBorder="1"/>
    <xf numFmtId="0" fontId="2" fillId="3" borderId="5" xfId="0" applyFont="1" applyFill="1" applyBorder="1"/>
    <xf numFmtId="0" fontId="0" fillId="5" borderId="0" xfId="0" applyFill="1"/>
    <xf numFmtId="0" fontId="0" fillId="5" borderId="0" xfId="0" applyFill="1" applyAlignment="1">
      <alignment horizontal="left"/>
    </xf>
    <xf numFmtId="44" fontId="0" fillId="5" borderId="0" xfId="1" applyFont="1" applyFill="1"/>
    <xf numFmtId="0" fontId="0" fillId="0" borderId="1" xfId="0" applyBorder="1"/>
    <xf numFmtId="0" fontId="2" fillId="3" borderId="6" xfId="0" applyFont="1" applyFill="1" applyBorder="1"/>
    <xf numFmtId="44" fontId="2" fillId="3" borderId="7" xfId="1" applyFont="1" applyFill="1" applyBorder="1"/>
    <xf numFmtId="0" fontId="0" fillId="4" borderId="6" xfId="0" applyFill="1" applyBorder="1"/>
    <xf numFmtId="44" fontId="0" fillId="4" borderId="7" xfId="1" applyFont="1" applyFill="1" applyBorder="1"/>
    <xf numFmtId="44" fontId="0" fillId="0" borderId="3" xfId="1" applyFont="1" applyBorder="1"/>
    <xf numFmtId="0" fontId="4" fillId="2" borderId="0" xfId="0" applyFont="1" applyFill="1" applyAlignment="1">
      <alignment vertical="top"/>
    </xf>
    <xf numFmtId="0" fontId="2" fillId="6" borderId="0" xfId="0" applyFont="1" applyFill="1" applyAlignment="1">
      <alignment horizontal="center"/>
    </xf>
  </cellXfs>
  <cellStyles count="2">
    <cellStyle name="Moeda" xfId="1" builtinId="4"/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5" formatCode="[$-416]mmm\-yy;@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[$-416]mmm\-yy;@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34" formatCode="_-&quot;R$&quot;\ * #,##0.00_-;\-&quot;R$&quot;\ * #,##0.00_-;_-&quot;R$&quot;\ * &quot;-&quot;??_-;_-@_-"/>
    </dxf>
    <dxf>
      <numFmt numFmtId="164" formatCode="_-[$R$-416]\ * #,##0.00_-;\-[$R$-416]\ * #,##0.00_-;_-[$R$-416]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5" formatCode="[$-416]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Estilo de Segmentação de Dados 1" pivot="0" table="0" count="1" xr9:uid="{AA6125C4-3458-49AB-BE6C-5BC99D7684B5}">
      <tableStyleElement type="wholeTable" dxfId="21"/>
    </tableStyle>
  </tableStyles>
  <colors>
    <mruColors>
      <color rgb="FFA7A7A7"/>
      <color rgb="FFFF3300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ção de Dad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eetMetadata" Target="metadata.xml"/><Relationship Id="rId18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17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microsoft.com/office/2017/06/relationships/richStyles" Target="richData/rich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microsoft.com/office/2017/06/relationships/rdRichValue" Target="richData/rdrichvalue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RENDA</a:t>
            </a:r>
            <a:r>
              <a:rPr lang="en-US" baseline="0"/>
              <a:t> VARIÁVEL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161773590746078"/>
          <c:y val="0.15850590861154848"/>
          <c:w val="0.74314309301611114"/>
          <c:h val="0.462613103923183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RV!$D$4</c:f>
              <c:strCache>
                <c:ptCount val="1"/>
                <c:pt idx="0">
                  <c:v>VALOR INVESTIDO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RV!$B$5:$C$8</c:f>
              <c:multiLvlStrCache>
                <c:ptCount val="4"/>
                <c:lvl>
                  <c:pt idx="0">
                    <c:v>AÇÃO</c:v>
                  </c:pt>
                  <c:pt idx="1">
                    <c:v>AÇÃO</c:v>
                  </c:pt>
                  <c:pt idx="2">
                    <c:v>AÇÃO</c:v>
                  </c:pt>
                  <c:pt idx="3">
                    <c:v>FII</c:v>
                  </c:pt>
                </c:lvl>
                <c:lvl>
                  <c:pt idx="0">
                    <c:v>Caixa Seguridade Participações S.A (BVMF:CXSE3)</c:v>
                  </c:pt>
                  <c:pt idx="1">
                    <c:v>Itaú Unibanco Holding S.A. (BVMF:ITUB4)</c:v>
                  </c:pt>
                  <c:pt idx="2">
                    <c:v>Petróleo Brasileiro S.A. (Petrobras) (BVMF:PETR4)</c:v>
                  </c:pt>
                  <c:pt idx="3">
                    <c:v>FDO INV IMOB KINEA RENDA IMOBILIARIA CF (BVMF:KNRI11)</c:v>
                  </c:pt>
                </c:lvl>
              </c:multiLvlStrCache>
            </c:multiLvlStrRef>
          </c:cat>
          <c:val>
            <c:numRef>
              <c:f>RV!$D$5:$D$8</c:f>
              <c:numCache>
                <c:formatCode>_("R$"* #,##0.00_);_("R$"* \(#,##0.00\);_("R$"* "-"??_);_(@_)</c:formatCode>
                <c:ptCount val="4"/>
                <c:pt idx="0">
                  <c:v>3000</c:v>
                </c:pt>
                <c:pt idx="1">
                  <c:v>5000</c:v>
                </c:pt>
                <c:pt idx="2">
                  <c:v>2000</c:v>
                </c:pt>
                <c:pt idx="3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0-4A3D-A9F0-69FED82E7744}"/>
            </c:ext>
          </c:extLst>
        </c:ser>
        <c:ser>
          <c:idx val="4"/>
          <c:order val="1"/>
          <c:tx>
            <c:strRef>
              <c:f>RV!$H$4</c:f>
              <c:strCache>
                <c:ptCount val="1"/>
                <c:pt idx="0">
                  <c:v>VALOR TOTAL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RV!$B$5:$C$8</c:f>
              <c:multiLvlStrCache>
                <c:ptCount val="4"/>
                <c:lvl>
                  <c:pt idx="0">
                    <c:v>AÇÃO</c:v>
                  </c:pt>
                  <c:pt idx="1">
                    <c:v>AÇÃO</c:v>
                  </c:pt>
                  <c:pt idx="2">
                    <c:v>AÇÃO</c:v>
                  </c:pt>
                  <c:pt idx="3">
                    <c:v>FII</c:v>
                  </c:pt>
                </c:lvl>
                <c:lvl>
                  <c:pt idx="0">
                    <c:v>Caixa Seguridade Participações S.A (BVMF:CXSE3)</c:v>
                  </c:pt>
                  <c:pt idx="1">
                    <c:v>Itaú Unibanco Holding S.A. (BVMF:ITUB4)</c:v>
                  </c:pt>
                  <c:pt idx="2">
                    <c:v>Petróleo Brasileiro S.A. (Petrobras) (BVMF:PETR4)</c:v>
                  </c:pt>
                  <c:pt idx="3">
                    <c:v>FDO INV IMOB KINEA RENDA IMOBILIARIA CF (BVMF:KNRI11)</c:v>
                  </c:pt>
                </c:lvl>
              </c:multiLvlStrCache>
            </c:multiLvlStrRef>
          </c:cat>
          <c:val>
            <c:numRef>
              <c:f>RV!$H$5:$H$8</c:f>
              <c:numCache>
                <c:formatCode>_("R$"* #,##0.00_);_("R$"* \(#,##0.00\);_("R$"* "-"??_);_(@_)</c:formatCode>
                <c:ptCount val="4"/>
                <c:pt idx="0">
                  <c:v>4539</c:v>
                </c:pt>
                <c:pt idx="1">
                  <c:v>4725</c:v>
                </c:pt>
                <c:pt idx="2">
                  <c:v>3685</c:v>
                </c:pt>
                <c:pt idx="3">
                  <c:v>19875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90-4A3D-A9F0-69FED82E7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1529160"/>
        <c:axId val="941527720"/>
      </c:barChart>
      <c:catAx>
        <c:axId val="941529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1527720"/>
        <c:crosses val="autoZero"/>
        <c:auto val="1"/>
        <c:lblAlgn val="ctr"/>
        <c:lblOffset val="100"/>
        <c:noMultiLvlLbl val="0"/>
      </c:catAx>
      <c:valAx>
        <c:axId val="94152772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9415291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RENDA</a:t>
            </a:r>
            <a:r>
              <a:rPr lang="en-US" baseline="0"/>
              <a:t> FIXA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6804094218299834"/>
          <c:y val="0.23582766439909297"/>
          <c:w val="0.76363567664581755"/>
          <c:h val="0.40910100523148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RF!$C$4</c:f>
              <c:strCache>
                <c:ptCount val="1"/>
                <c:pt idx="0">
                  <c:v>VALOR INVESTIDO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RF!$B$5:$B$8</c:f>
              <c:strCache>
                <c:ptCount val="4"/>
                <c:pt idx="0">
                  <c:v>CDB</c:v>
                </c:pt>
                <c:pt idx="1">
                  <c:v>LCI</c:v>
                </c:pt>
                <c:pt idx="2">
                  <c:v>CRA</c:v>
                </c:pt>
                <c:pt idx="3">
                  <c:v>FUNDO RF</c:v>
                </c:pt>
              </c:strCache>
            </c:strRef>
          </c:cat>
          <c:val>
            <c:numRef>
              <c:f>RF!$C$5:$C$8</c:f>
              <c:numCache>
                <c:formatCode>_("R$"* #,##0.00_);_("R$"* \(#,##0.00\);_("R$"* "-"??_);_(@_)</c:formatCode>
                <c:ptCount val="4"/>
                <c:pt idx="0">
                  <c:v>3000</c:v>
                </c:pt>
                <c:pt idx="1">
                  <c:v>5000</c:v>
                </c:pt>
                <c:pt idx="2">
                  <c:v>2000</c:v>
                </c:pt>
                <c:pt idx="3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1-4565-B643-F24C69A44381}"/>
            </c:ext>
          </c:extLst>
        </c:ser>
        <c:ser>
          <c:idx val="4"/>
          <c:order val="1"/>
          <c:tx>
            <c:strRef>
              <c:f>RF!$D$4</c:f>
              <c:strCache>
                <c:ptCount val="1"/>
                <c:pt idx="0">
                  <c:v>VALOR TOTAL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RF!$B$5:$B$8</c:f>
              <c:strCache>
                <c:ptCount val="4"/>
                <c:pt idx="0">
                  <c:v>CDB</c:v>
                </c:pt>
                <c:pt idx="1">
                  <c:v>LCI</c:v>
                </c:pt>
                <c:pt idx="2">
                  <c:v>CRA</c:v>
                </c:pt>
                <c:pt idx="3">
                  <c:v>FUNDO RF</c:v>
                </c:pt>
              </c:strCache>
            </c:strRef>
          </c:cat>
          <c:val>
            <c:numRef>
              <c:f>RF!$D$5:$D$8</c:f>
              <c:numCache>
                <c:formatCode>_("R$"* #,##0.00_);_("R$"* \(#,##0.00\);_("R$"* "-"??_);_(@_)</c:formatCode>
                <c:ptCount val="4"/>
                <c:pt idx="0">
                  <c:v>3300</c:v>
                </c:pt>
                <c:pt idx="1">
                  <c:v>5500</c:v>
                </c:pt>
                <c:pt idx="2">
                  <c:v>2200</c:v>
                </c:pt>
                <c:pt idx="3">
                  <c:v>44000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11-4565-B643-F24C69A4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1529160"/>
        <c:axId val="941527720"/>
      </c:barChart>
      <c:catAx>
        <c:axId val="941529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1527720"/>
        <c:crosses val="autoZero"/>
        <c:auto val="1"/>
        <c:lblAlgn val="ctr"/>
        <c:lblOffset val="100"/>
        <c:noMultiLvlLbl val="0"/>
      </c:catAx>
      <c:valAx>
        <c:axId val="94152772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941529160"/>
        <c:crosses val="autoZero"/>
        <c:crossBetween val="between"/>
      </c:valAx>
      <c:dTable>
        <c:showHorzBorder val="0"/>
        <c:showVertBorder val="0"/>
        <c:showOutline val="0"/>
        <c:showKeys val="1"/>
        <c:spPr>
          <a:noFill/>
          <a:ln w="9525"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[FINANÇAS_DESAFIO_dio2.xlsm]TUDO!Tabela dinâmica50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INVESTIDO</a:t>
            </a:r>
            <a:r>
              <a:rPr lang="en-US" baseline="0"/>
              <a:t> POR ATIVO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TUDO!$H$3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TUDO!$G$4:$G$12</c:f>
              <c:strCache>
                <c:ptCount val="8"/>
                <c:pt idx="0">
                  <c:v>Caixa Seguridade Participações S.A (BVMF:CXSE3)</c:v>
                </c:pt>
                <c:pt idx="1">
                  <c:v>CDB</c:v>
                </c:pt>
                <c:pt idx="2">
                  <c:v>CRA</c:v>
                </c:pt>
                <c:pt idx="3">
                  <c:v>FDO INV IMOB KINEA RENDA IMOBILIARIA CF (BVMF:KNRI11)</c:v>
                </c:pt>
                <c:pt idx="4">
                  <c:v>FUNDO RF</c:v>
                </c:pt>
                <c:pt idx="5">
                  <c:v>Itaú Unibanco Holding S.A. (BVMF:ITUB4)</c:v>
                </c:pt>
                <c:pt idx="6">
                  <c:v>LCI</c:v>
                </c:pt>
                <c:pt idx="7">
                  <c:v>Petróleo Brasileiro S.A. (Petrobras) (BVMF:PETR4)</c:v>
                </c:pt>
              </c:strCache>
            </c:strRef>
          </c:cat>
          <c:val>
            <c:numRef>
              <c:f>TUDO!$H$4:$H$12</c:f>
              <c:numCache>
                <c:formatCode>_("R$"* #,##0.00_);_("R$"* \(#,##0.00\);_("R$"* "-"??_);_(@_)</c:formatCode>
                <c:ptCount val="8"/>
                <c:pt idx="0">
                  <c:v>3000</c:v>
                </c:pt>
                <c:pt idx="1">
                  <c:v>3000</c:v>
                </c:pt>
                <c:pt idx="2">
                  <c:v>2000</c:v>
                </c:pt>
                <c:pt idx="3">
                  <c:v>18000</c:v>
                </c:pt>
                <c:pt idx="4">
                  <c:v>50000</c:v>
                </c:pt>
                <c:pt idx="5">
                  <c:v>5000</c:v>
                </c:pt>
                <c:pt idx="6">
                  <c:v>5000</c:v>
                </c:pt>
                <c:pt idx="7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7-449B-A9D7-0BF3D9B43A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58529184"/>
        <c:axId val="958529904"/>
      </c:barChart>
      <c:catAx>
        <c:axId val="95852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8529904"/>
        <c:crosses val="autoZero"/>
        <c:auto val="1"/>
        <c:lblAlgn val="ctr"/>
        <c:lblOffset val="100"/>
        <c:noMultiLvlLbl val="0"/>
      </c:catAx>
      <c:valAx>
        <c:axId val="95852990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958529184"/>
        <c:crosses val="autoZero"/>
        <c:crossBetween val="between"/>
      </c:valAx>
      <c:spPr>
        <a:noFill/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META TOTAL</a:t>
            </a:r>
            <a:r>
              <a:rPr lang="pt-BR" baseline="0"/>
              <a:t> INVESTIDO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TUDO!$G$20</c:f>
              <c:strCache>
                <c:ptCount val="1"/>
                <c:pt idx="0">
                  <c:v>TOTAL INVESTIDO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TUDO!$H$20</c:f>
              <c:numCache>
                <c:formatCode>_("R$"* #,##0.00_);_("R$"* \(#,##0.00\);_("R$"* "-"??_);_(@_)</c:formatCode>
                <c:ptCount val="1"/>
                <c:pt idx="0">
                  <c:v>88000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C-4544-9A86-05A5B4AC7070}"/>
            </c:ext>
          </c:extLst>
        </c:ser>
        <c:ser>
          <c:idx val="1"/>
          <c:order val="1"/>
          <c:tx>
            <c:strRef>
              <c:f>TUDO!$G$21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TUDO!$H$21</c:f>
              <c:numCache>
                <c:formatCode>_("R$"* #,##0.00_);_("R$"* \(#,##0.00\);_("R$"* "-"??_);_(@_)</c:formatCode>
                <c:ptCount val="1"/>
                <c:pt idx="0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C-4544-9A86-05A5B4AC70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71527120"/>
        <c:axId val="671522080"/>
      </c:barChart>
      <c:catAx>
        <c:axId val="6715271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71522080"/>
        <c:crosses val="autoZero"/>
        <c:auto val="1"/>
        <c:lblAlgn val="ctr"/>
        <c:lblOffset val="100"/>
        <c:noMultiLvlLbl val="0"/>
      </c:catAx>
      <c:valAx>
        <c:axId val="67152208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7152712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3.sv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571499</xdr:colOff>
      <xdr:row>0</xdr:row>
      <xdr:rowOff>0</xdr:rowOff>
    </xdr:from>
    <xdr:to>
      <xdr:col>19</xdr:col>
      <xdr:colOff>130968</xdr:colOff>
      <xdr:row>3</xdr:row>
      <xdr:rowOff>105162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16D092F-E20B-0699-8D2B-D9145955D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18093" y="0"/>
          <a:ext cx="3202781" cy="1617256"/>
        </a:xfrm>
        <a:prstGeom prst="rect">
          <a:avLst/>
        </a:prstGeom>
      </xdr:spPr>
    </xdr:pic>
    <xdr:clientData/>
  </xdr:twoCellAnchor>
  <xdr:twoCellAnchor>
    <xdr:from>
      <xdr:col>0</xdr:col>
      <xdr:colOff>1958915</xdr:colOff>
      <xdr:row>1</xdr:row>
      <xdr:rowOff>629009</xdr:rowOff>
    </xdr:from>
    <xdr:to>
      <xdr:col>19</xdr:col>
      <xdr:colOff>125802</xdr:colOff>
      <xdr:row>34</xdr:row>
      <xdr:rowOff>179717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29EF9C2D-AA8E-0010-D709-B67C8FA4993C}"/>
            </a:ext>
          </a:extLst>
        </xdr:cNvPr>
        <xdr:cNvSpPr/>
      </xdr:nvSpPr>
      <xdr:spPr>
        <a:xfrm>
          <a:off x="1958915" y="826698"/>
          <a:ext cx="12741934" cy="659561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564358</xdr:colOff>
      <xdr:row>1</xdr:row>
      <xdr:rowOff>276225</xdr:rowOff>
    </xdr:from>
    <xdr:to>
      <xdr:col>13</xdr:col>
      <xdr:colOff>9525</xdr:colOff>
      <xdr:row>2</xdr:row>
      <xdr:rowOff>47624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9247557-8787-4D0A-8878-225F099B1457}"/>
            </a:ext>
          </a:extLst>
        </xdr:cNvPr>
        <xdr:cNvSpPr txBox="1"/>
      </xdr:nvSpPr>
      <xdr:spPr>
        <a:xfrm>
          <a:off x="5945983" y="657225"/>
          <a:ext cx="4910136" cy="521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chemeClr val="bg1"/>
              </a:solidFill>
            </a:rPr>
            <a:t>VAMOS</a:t>
          </a:r>
          <a:r>
            <a:rPr lang="pt-BR" sz="1400" baseline="0">
              <a:solidFill>
                <a:schemeClr val="bg1"/>
              </a:solidFill>
            </a:rPr>
            <a:t> ACOMPANHAR SUA </a:t>
          </a:r>
          <a:r>
            <a:rPr lang="pt-BR" sz="1400">
              <a:solidFill>
                <a:schemeClr val="bg1"/>
              </a:solidFill>
            </a:rPr>
            <a:t>CARTEIRA DE INVESTIMENTOS?</a:t>
          </a:r>
        </a:p>
      </xdr:txBody>
    </xdr:sp>
    <xdr:clientData/>
  </xdr:twoCellAnchor>
  <xdr:twoCellAnchor>
    <xdr:from>
      <xdr:col>8</xdr:col>
      <xdr:colOff>561121</xdr:colOff>
      <xdr:row>2</xdr:row>
      <xdr:rowOff>34193</xdr:rowOff>
    </xdr:from>
    <xdr:to>
      <xdr:col>18</xdr:col>
      <xdr:colOff>485462</xdr:colOff>
      <xdr:row>16</xdr:row>
      <xdr:rowOff>143999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9446F66-52DF-4050-961D-A5722C500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2</xdr:row>
      <xdr:rowOff>38101</xdr:rowOff>
    </xdr:from>
    <xdr:to>
      <xdr:col>8</xdr:col>
      <xdr:colOff>247650</xdr:colOff>
      <xdr:row>16</xdr:row>
      <xdr:rowOff>161746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72CB233-52A4-4880-B7D0-4C78881A6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53196</xdr:colOff>
      <xdr:row>17</xdr:row>
      <xdr:rowOff>161744</xdr:rowOff>
    </xdr:from>
    <xdr:to>
      <xdr:col>8</xdr:col>
      <xdr:colOff>233632</xdr:colOff>
      <xdr:row>34</xdr:row>
      <xdr:rowOff>71887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0498529-A521-4E3E-96C8-1C3AEE000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71887</xdr:colOff>
      <xdr:row>12</xdr:row>
      <xdr:rowOff>47622</xdr:rowOff>
    </xdr:from>
    <xdr:to>
      <xdr:col>0</xdr:col>
      <xdr:colOff>1900687</xdr:colOff>
      <xdr:row>23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ATA 3">
              <a:extLst>
                <a:ext uri="{FF2B5EF4-FFF2-40B4-BE49-F238E27FC236}">
                  <a16:creationId xmlns:a16="http://schemas.microsoft.com/office/drawing/2014/main" id="{F32F23E0-8DA5-4F6B-9271-6CA449892E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887" y="3274216"/>
              <a:ext cx="1828800" cy="19656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96238</xdr:colOff>
      <xdr:row>6</xdr:row>
      <xdr:rowOff>122027</xdr:rowOff>
    </xdr:from>
    <xdr:to>
      <xdr:col>0</xdr:col>
      <xdr:colOff>1925038</xdr:colOff>
      <xdr:row>11</xdr:row>
      <xdr:rowOff>149615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CLASSIFICAÇÃO 3">
              <a:extLst>
                <a:ext uri="{FF2B5EF4-FFF2-40B4-BE49-F238E27FC236}">
                  <a16:creationId xmlns:a16="http://schemas.microsoft.com/office/drawing/2014/main" id="{6E6B0F91-A91F-4361-A564-CC7EB4940A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IFICAÇÃ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238" y="2205621"/>
              <a:ext cx="1828800" cy="980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3817</xdr:colOff>
      <xdr:row>17</xdr:row>
      <xdr:rowOff>161746</xdr:rowOff>
    </xdr:from>
    <xdr:to>
      <xdr:col>18</xdr:col>
      <xdr:colOff>539150</xdr:colOff>
      <xdr:row>33</xdr:row>
      <xdr:rowOff>179717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F6A3D35-E9BF-4EE8-BDEE-F479300FC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309562</xdr:colOff>
      <xdr:row>1</xdr:row>
      <xdr:rowOff>71438</xdr:rowOff>
    </xdr:from>
    <xdr:to>
      <xdr:col>0</xdr:col>
      <xdr:colOff>1726406</xdr:colOff>
      <xdr:row>5</xdr:row>
      <xdr:rowOff>166688</xdr:rowOff>
    </xdr:to>
    <xdr:pic>
      <xdr:nvPicPr>
        <xdr:cNvPr id="19" name="Gráfico 18" descr="Baú de tesouro estrutura de tópicos">
          <a:extLst>
            <a:ext uri="{FF2B5EF4-FFF2-40B4-BE49-F238E27FC236}">
              <a16:creationId xmlns:a16="http://schemas.microsoft.com/office/drawing/2014/main" id="{EF0165E3-736E-4E76-8A16-EE8311CFB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09562" y="452438"/>
          <a:ext cx="1416844" cy="14168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781050</xdr:colOff>
      <xdr:row>32</xdr:row>
      <xdr:rowOff>47625</xdr:rowOff>
    </xdr:from>
    <xdr:to>
      <xdr:col>4</xdr:col>
      <xdr:colOff>85725</xdr:colOff>
      <xdr:row>42</xdr:row>
      <xdr:rowOff>142875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DATA">
              <a:extLst>
                <a:ext uri="{FF2B5EF4-FFF2-40B4-BE49-F238E27FC236}">
                  <a16:creationId xmlns:a16="http://schemas.microsoft.com/office/drawing/2014/main" id="{795E4484-51A8-A0A8-1306-52401343A8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48275" y="6143625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1257300</xdr:colOff>
      <xdr:row>34</xdr:row>
      <xdr:rowOff>142875</xdr:rowOff>
    </xdr:from>
    <xdr:to>
      <xdr:col>4</xdr:col>
      <xdr:colOff>561975</xdr:colOff>
      <xdr:row>39</xdr:row>
      <xdr:rowOff>171450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CLASSIFICAÇÃO">
              <a:extLst>
                <a:ext uri="{FF2B5EF4-FFF2-40B4-BE49-F238E27FC236}">
                  <a16:creationId xmlns:a16="http://schemas.microsoft.com/office/drawing/2014/main" id="{22DBE366-0953-2131-BF70-13E44B69E8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IFIC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24525" y="6619875"/>
              <a:ext cx="1828800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" refreshedDate="45645.898242361109" createdVersion="8" refreshedVersion="8" minRefreshableVersion="3" recordCount="48" xr:uid="{87EBB0EC-8357-43E3-9690-6D9B14DA4DE8}">
  <cacheSource type="worksheet">
    <worksheetSource name="Tabela246"/>
  </cacheSource>
  <cacheFields count="4">
    <cacheField name="DATA" numFmtId="165">
      <sharedItems containsSemiMixedTypes="0" containsNonDate="0" containsDate="1" containsString="0" minDate="2024-01-01T00:00:00" maxDate="2024-06-02T00:00:00" count="6">
        <d v="2024-01-01T00:00:00"/>
        <d v="2024-02-01T00:00:00"/>
        <d v="2024-03-01T00:00:00"/>
        <d v="2024-04-01T00:00:00"/>
        <d v="2024-05-01T00:00:00"/>
        <d v="2024-06-01T00:00:00"/>
      </sharedItems>
    </cacheField>
    <cacheField name="ATIVO" numFmtId="0">
      <sharedItems count="8">
        <s v="CDB"/>
        <s v="LCI"/>
        <s v="CRA"/>
        <s v="FUNDO RF"/>
        <s v="Caixa Seguridade Participações S.A (BVMF:CXSE3)"/>
        <s v="Itaú Unibanco Holding S.A. (BVMF:ITUB4)"/>
        <s v="Petróleo Brasileiro S.A. (Petrobras) (BVMF:PETR4)"/>
        <s v="FDO INV IMOB KINEA RENDA IMOBILIARIA CF (BVMF:KNRI11)"/>
      </sharedItems>
    </cacheField>
    <cacheField name="VALOR INVESTIDO" numFmtId="44">
      <sharedItems containsSemiMixedTypes="0" containsString="0" containsNumber="1" containsInteger="1" minValue="100" maxValue="10000"/>
    </cacheField>
    <cacheField name="CLASSIFICAÇÃO" numFmtId="44">
      <sharedItems count="2">
        <s v="RENDA FIXA"/>
        <s v="RENDA VARIÁVEL"/>
      </sharedItems>
    </cacheField>
  </cacheFields>
  <extLst>
    <ext xmlns:x14="http://schemas.microsoft.com/office/spreadsheetml/2009/9/main" uri="{725AE2AE-9491-48be-B2B4-4EB974FC3084}">
      <x14:pivotCacheDefinition pivotCacheId="136860231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n v="500"/>
    <x v="0"/>
  </r>
  <r>
    <x v="0"/>
    <x v="1"/>
    <n v="800"/>
    <x v="0"/>
  </r>
  <r>
    <x v="0"/>
    <x v="2"/>
    <n v="100"/>
    <x v="0"/>
  </r>
  <r>
    <x v="0"/>
    <x v="3"/>
    <n v="10000"/>
    <x v="0"/>
  </r>
  <r>
    <x v="0"/>
    <x v="4"/>
    <n v="800"/>
    <x v="1"/>
  </r>
  <r>
    <x v="0"/>
    <x v="5"/>
    <n v="900"/>
    <x v="1"/>
  </r>
  <r>
    <x v="0"/>
    <x v="6"/>
    <n v="100"/>
    <x v="1"/>
  </r>
  <r>
    <x v="0"/>
    <x v="7"/>
    <n v="3500"/>
    <x v="1"/>
  </r>
  <r>
    <x v="1"/>
    <x v="0"/>
    <n v="700"/>
    <x v="0"/>
  </r>
  <r>
    <x v="1"/>
    <x v="1"/>
    <n v="1000"/>
    <x v="0"/>
  </r>
  <r>
    <x v="1"/>
    <x v="2"/>
    <n v="250"/>
    <x v="0"/>
  </r>
  <r>
    <x v="1"/>
    <x v="3"/>
    <n v="10000"/>
    <x v="0"/>
  </r>
  <r>
    <x v="1"/>
    <x v="4"/>
    <n v="300"/>
    <x v="1"/>
  </r>
  <r>
    <x v="1"/>
    <x v="5"/>
    <n v="500"/>
    <x v="1"/>
  </r>
  <r>
    <x v="1"/>
    <x v="6"/>
    <n v="350"/>
    <x v="1"/>
  </r>
  <r>
    <x v="1"/>
    <x v="7"/>
    <n v="2500"/>
    <x v="1"/>
  </r>
  <r>
    <x v="2"/>
    <x v="0"/>
    <n v="400"/>
    <x v="0"/>
  </r>
  <r>
    <x v="2"/>
    <x v="1"/>
    <n v="1500"/>
    <x v="0"/>
  </r>
  <r>
    <x v="2"/>
    <x v="2"/>
    <n v="150"/>
    <x v="0"/>
  </r>
  <r>
    <x v="2"/>
    <x v="3"/>
    <n v="10000"/>
    <x v="0"/>
  </r>
  <r>
    <x v="2"/>
    <x v="4"/>
    <n v="500"/>
    <x v="1"/>
  </r>
  <r>
    <x v="2"/>
    <x v="5"/>
    <n v="470"/>
    <x v="1"/>
  </r>
  <r>
    <x v="2"/>
    <x v="6"/>
    <n v="200"/>
    <x v="1"/>
  </r>
  <r>
    <x v="2"/>
    <x v="7"/>
    <n v="4500"/>
    <x v="1"/>
  </r>
  <r>
    <x v="3"/>
    <x v="0"/>
    <n v="800"/>
    <x v="0"/>
  </r>
  <r>
    <x v="3"/>
    <x v="1"/>
    <n v="500"/>
    <x v="0"/>
  </r>
  <r>
    <x v="3"/>
    <x v="2"/>
    <n v="300"/>
    <x v="0"/>
  </r>
  <r>
    <x v="3"/>
    <x v="3"/>
    <n v="9000"/>
    <x v="0"/>
  </r>
  <r>
    <x v="3"/>
    <x v="4"/>
    <n v="800"/>
    <x v="1"/>
  </r>
  <r>
    <x v="3"/>
    <x v="5"/>
    <n v="1500"/>
    <x v="1"/>
  </r>
  <r>
    <x v="3"/>
    <x v="6"/>
    <n v="150"/>
    <x v="1"/>
  </r>
  <r>
    <x v="3"/>
    <x v="7"/>
    <n v="3500"/>
    <x v="1"/>
  </r>
  <r>
    <x v="4"/>
    <x v="0"/>
    <n v="300"/>
    <x v="0"/>
  </r>
  <r>
    <x v="4"/>
    <x v="1"/>
    <n v="200"/>
    <x v="0"/>
  </r>
  <r>
    <x v="4"/>
    <x v="2"/>
    <n v="600"/>
    <x v="0"/>
  </r>
  <r>
    <x v="4"/>
    <x v="3"/>
    <n v="6000"/>
    <x v="0"/>
  </r>
  <r>
    <x v="4"/>
    <x v="4"/>
    <n v="200"/>
    <x v="1"/>
  </r>
  <r>
    <x v="4"/>
    <x v="5"/>
    <n v="700"/>
    <x v="1"/>
  </r>
  <r>
    <x v="4"/>
    <x v="6"/>
    <n v="720"/>
    <x v="1"/>
  </r>
  <r>
    <x v="4"/>
    <x v="7"/>
    <n v="2000"/>
    <x v="1"/>
  </r>
  <r>
    <x v="5"/>
    <x v="0"/>
    <n v="300"/>
    <x v="0"/>
  </r>
  <r>
    <x v="5"/>
    <x v="1"/>
    <n v="1000"/>
    <x v="0"/>
  </r>
  <r>
    <x v="5"/>
    <x v="2"/>
    <n v="600"/>
    <x v="0"/>
  </r>
  <r>
    <x v="5"/>
    <x v="3"/>
    <n v="5000"/>
    <x v="0"/>
  </r>
  <r>
    <x v="5"/>
    <x v="4"/>
    <n v="400"/>
    <x v="1"/>
  </r>
  <r>
    <x v="5"/>
    <x v="5"/>
    <n v="930"/>
    <x v="1"/>
  </r>
  <r>
    <x v="5"/>
    <x v="6"/>
    <n v="480"/>
    <x v="1"/>
  </r>
  <r>
    <x v="5"/>
    <x v="7"/>
    <n v="2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747993-B5B0-4765-8780-BE75AB1C6CC5}" name="Tabela dinâmica5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G3:H12" firstHeaderRow="1" firstDataRow="1" firstDataCol="1"/>
  <pivotFields count="4">
    <pivotField numFmtId="165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9">
        <item x="4"/>
        <item x="0"/>
        <item x="2"/>
        <item x="7"/>
        <item x="3"/>
        <item x="5"/>
        <item x="1"/>
        <item x="6"/>
        <item t="default"/>
      </items>
    </pivotField>
    <pivotField dataField="1" numFmtId="44" showAll="0"/>
    <pivotField showAll="0">
      <items count="3">
        <item x="0"/>
        <item x="1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ALOR INVESTIDO" fld="2" baseField="0" baseItem="0" numFmtId="44"/>
  </dataFields>
  <formats count="1">
    <format dxfId="3">
      <pivotArea outline="0" collapsedLevelsAreSubtotals="1" fieldPosition="0"/>
    </format>
  </formats>
  <chartFormats count="2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12">
  <rv s="0">
    <v>https://www.bing.com/financeapi/forcetrigger?t=c1s56h&amp;q=BVMF%3aCXSE3&amp;form=skydnc</v>
    <v>Learn more on Bing</v>
  </rv>
  <rv s="1">
    <v>pt-BR</v>
    <v>c1s56h</v>
    <v>268435456</v>
    <v>1</v>
    <v>Da plataforma Refinitiv</v>
    <v>0</v>
    <v>1</v>
    <v>Caixa Seguridade Participações S.A (BVMF:CXSE3)</v>
    <v>3</v>
    <v>4</v>
    <v>Finance</v>
    <v>5</v>
    <v>16.52</v>
    <v>11.67</v>
    <v>BVMF</v>
    <v>3000000000</v>
    <v>15.69</v>
    <v>2015</v>
    <v>14.9</v>
    <v>0.97230000000000005</v>
    <v>B3 - Brazil Stock Exchange</v>
    <v>45390000000</v>
    <v>A Caixa Seguridade Participacoes SA é uma empresa de participações sediada no Brasil que consolida os investimentos da CAIXA em empresas dos ramos de seguros, previdência privada, capitalização, consórcio, serviços de assistência e corretagem de seguros e atua principalmente por meio do sistema de Bancassurance na rede de distribuição da CAIXA. A Companhia possui o direito exclusivo de acessar a base de clientes da CAIXA e de explorar economicamente a marca “CAIXA” e sua rede de agências próprias, revendedores lotéricos, correspondentes bancários, o internet banking, caixas eletrônicos e outros canais de distribuição. A Caixa Economica Federal (CAIXA) é o maior banco brasileiro em número de clientes.</v>
    <v>BVMF</v>
    <v>15.73</v>
    <v>131</v>
    <v>45646.89271990741</v>
    <v>0</v>
    <v>6092100</v>
    <v>BRL</v>
    <v>Caixa Seguridade Participações S.A</v>
    <v>Caixa Seguridade Participações S.A</v>
    <v>15.69</v>
    <v>15.13</v>
    <v>SAUS Quadra 3 Bloco E, 3 andar, Asa Sul, BRASILIA, DISTRITO FEDERAL, 70.070-030 BR</v>
    <v>Insurance</v>
    <v>CXSE3</v>
    <v>Ações</v>
    <v>Caixa Seguridade Participações S.A (BVMF:CXSE3)</v>
    <v>-0.6</v>
    <v>-3.8143999999999997E-2</v>
    <v>10476600</v>
  </rv>
  <rv s="2">
    <v>1</v>
  </rv>
  <rv s="0">
    <v>https://www.bing.com/financeapi/forcetrigger?t=apmscw&amp;q=BVMF%3aITUB4&amp;form=skydnc</v>
    <v>Learn more on Bing</v>
  </rv>
  <rv s="1">
    <v>pt-BR</v>
    <v>apmscw</v>
    <v>268435456</v>
    <v>1</v>
    <v>Da plataforma Refinitiv</v>
    <v>0</v>
    <v>1</v>
    <v>Itaú Unibanco Holding S.A. (BVMF:ITUB4)</v>
    <v>3</v>
    <v>4</v>
    <v>Finance</v>
    <v>5</v>
    <v>37.1</v>
    <v>29.81</v>
    <v>BVMF</v>
    <v>9804136000</v>
    <v>31.52</v>
    <v>1943</v>
    <v>31.06</v>
    <v>1.0307999999999999</v>
    <v>B3 - Brazil Stock Exchange</v>
    <v>286608000000</v>
    <v>O Itaú Unibanco Holding S.A. é uma holding. A Companhia oferece uma gama de produtos e serviços financeiros a clientes pessoas físicas e jurídicas, no Brasil e no exterior. A Companhia opera por meio de três segmentos: Banco de Varejo, Banco de Atacado e Atividades com o Mercado + Corporação. O segmento de Banco de Varejo oferece produtos e serviços bancários a uma base diversificada de clientes correntistas e não correntistas, pessoas físicas e jurídicas. O segmento de Banco de Atacado oferece produtos e serviços para empresas de médio porte, clientes de alto patrimônio líquido (Private Banking) e clientes institucionais. As atividades da Companhia com o segmento Mercado + Corporação administram principalmente os resultados financeiros associados ao excedente de capital, dívida subordinada e dívida líquida de créditos e débitos tributários. A Companhia oferece atividades bancárias, por meio de suas carteiras comercial, de investimento, crédito imobiliário, crédito financeiro e de investimento e arrendamento mercantil, incluindo operações de câmbio.</v>
    <v>BVMF</v>
    <v>31.14</v>
    <v>100600</v>
    <v>45646.892488425925</v>
    <v>3</v>
    <v>30870630</v>
    <v>BRL</v>
    <v>Itaú Unibanco Holding S.A.</v>
    <v>Itaú Unibanco Holding S.A.</v>
    <v>31.06</v>
    <v>31.5</v>
    <v>Praca Alfredo Egydio de Souza Aranha, 100, T. Olavo Setubal, Piso Itau Unibanco, Parque Jabaquara, SAO PAULO, SAO PAULO, 04.344-902 BR</v>
    <v>Banking Services</v>
    <v>ITUB4</v>
    <v>Ações</v>
    <v>Itaú Unibanco Holding S.A. (BVMF:ITUB4)</v>
    <v>0.36</v>
    <v>1.1560999999999998E-2</v>
    <v>53091500</v>
  </rv>
  <rv s="2">
    <v>4</v>
  </rv>
  <rv s="0">
    <v>https://www.bing.com/financeapi/forcetrigger?t=apn4gh&amp;q=BVMF%3aPETR4&amp;form=skydnc</v>
    <v>Learn more on Bing</v>
  </rv>
  <rv s="1">
    <v>pt-BR</v>
    <v>apn4gh</v>
    <v>268435456</v>
    <v>1</v>
    <v>Da plataforma Refinitiv</v>
    <v>0</v>
    <v>1</v>
    <v>Petróleo Brasileiro S.A. (Petrobras) (BVMF:PETR4)</v>
    <v>3</v>
    <v>4</v>
    <v>Finance</v>
    <v>5</v>
    <v>39.200000000000003</v>
    <v>29.83</v>
    <v>BVMF</v>
    <v>13044500000</v>
    <v>37.35</v>
    <v>1953</v>
    <v>36.71</v>
    <v>1.2862</v>
    <v>B3 - Brazil Stock Exchange</v>
    <v>505944500000</v>
    <v>A PETRÓLEO BRASILEIRO S.A. - PETROBRAS é uma empresa especializada na indústria de petróleo, gás natural e energia. A Empresa está envolvida na prospecção, perfuração, refinação, transformação, comercialização e transporte de petróleo bruto proveniente da produção de campos petrolíferos onshore e offshore e de xisto ou outras rochas. Seus segmentos incluem Exploração e Produção, que abrange as atividades de exploração, desenvolvimento e produção de petróleo bruto, gás natural líquido e gás natural; Refinação, Transporte e Marketing, que abrange as atividades de refinação, logística, transporte e comercialização de petróleo, exportação de etanol e extração e processamento de xistos; Gás e Energia, que se dedica ao transporte e comercialização de gás natural produzido no Brasil e gás natural importado; Biocombustíveis, que abrange as atividades de produção de biodiesel e seus co-produtos, e atividades relacionadas ao etanol; Distribuição, que inclui as atividades de sua subsidiária Petrobras Distribuidora S.A. e Corporativa.</v>
    <v>BVMF</v>
    <v>37.159999999999997</v>
    <v>46730</v>
    <v>45646.893055555556</v>
    <v>6</v>
    <v>35211530</v>
    <v>BRL</v>
    <v>Petróleo Brasileiro S.A. (Petrobras)</v>
    <v>Petróleo Brasileiro S.A. (Petrobras)</v>
    <v>37.159999999999997</v>
    <v>36.85</v>
    <v>Av. Republica do Chile, n 65, 24 andar, Centro, RIO DE JANEIRO, RIO DE JANEIRO, 20.031-912 BR</v>
    <v>Oil &amp; Gas</v>
    <v>PETR4</v>
    <v>Ações</v>
    <v>Petróleo Brasileiro S.A. (Petrobras) (BVMF:PETR4)</v>
    <v>-0.31</v>
    <v>-8.3420000000000005E-3</v>
    <v>59155000</v>
  </rv>
  <rv s="2">
    <v>7</v>
  </rv>
  <rv s="0">
    <v>https://www.bing.com/financeapi/forcetrigger?t=apmuh7&amp;q=BVMF%3aKNRI11&amp;form=skydnc</v>
    <v>Learn more on Bing</v>
  </rv>
  <rv s="3">
    <v>pt-BR</v>
    <v>apmuh7</v>
    <v>268435456</v>
    <v>1</v>
    <v>Da plataforma Refinitiv</v>
    <v>6</v>
    <v>7</v>
    <v>FDO INV IMOB KINEA RENDA IMOBILIARIA CF (BVMF:KNRI11)</v>
    <v>8</v>
    <v>9</v>
    <v>Finance</v>
    <v>5</v>
    <v>157.28</v>
    <v>124.3</v>
    <v>BVMF</v>
    <v>134.94999999999999</v>
    <v>130.01</v>
    <v>B3 - Brazil Stock Exchange</v>
    <v>130.01</v>
    <v>45646.90289351852</v>
    <v>9</v>
    <v>BRL</v>
    <v>FDO INV IMOB KINEA RENDA IMOBILIARIA CF</v>
    <v>131.32</v>
    <v>132.5</v>
    <v>KNRI11</v>
    <v>Fundos mais negociados</v>
    <v>FDO INV IMOB KINEA RENDA IMOBILIARIA CF (BVMF:KNRI11)</v>
    <v>2.4900000000000002</v>
    <v>1.9151999999999999E-2</v>
    <v>56614</v>
  </rv>
  <rv s="2">
    <v>10</v>
  </rv>
</rvData>
</file>

<file path=xl/richData/rdrichvaluestructure.xml><?xml version="1.0" encoding="utf-8"?>
<rvStructures xmlns="http://schemas.microsoft.com/office/spreadsheetml/2017/richdata" count="4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CanonicalPropertyNames" t="spb"/>
    <k n="_Display" t="spb"/>
    <k n="_DisplayString" t="s"/>
    <k n="_Flags" t="spb"/>
    <k n="_Format" t="spb"/>
    <k n="_Icon" t="s"/>
    <k n="_SubLabel" t="spb"/>
    <k n="52 semanas de alta"/>
    <k n="52 semanas de baixa"/>
    <k n="Abreviatura do câmbio" t="s"/>
    <k n="Ações em circulação"/>
    <k n="Alto"/>
    <k n="Ano de incorporação"/>
    <k n="Baixo"/>
    <k n="Beta"/>
    <k n="Bolsa" t="s"/>
    <k n="Capitalização de mercado"/>
    <k n="Descrição" t="s"/>
    <k n="ExchangeID" t="s"/>
    <k n="Fechamento anterior"/>
    <k n="Funcionários"/>
    <k n="Hora da última transação"/>
    <k n="LearnMoreOnLink" t="r"/>
    <k n="Média de volume"/>
    <k n="Moeda" t="s"/>
    <k n="Nome" t="s"/>
    <k n="Nome oficial" t="s"/>
    <k n="Pendência"/>
    <k n="Preço"/>
    <k n="Sede" t="s"/>
    <k n="Setor" t="s"/>
    <k n="Símbolo do ticker" t="s"/>
    <k n="Tipo de instrumento" t="s"/>
    <k n="UniqueName" t="s"/>
    <k n="Variação"/>
    <k n="Variação (%)"/>
    <k n="Volume"/>
  </s>
  <s t="_linkedentity">
    <k n="%cvi" t="r"/>
  </s>
  <s t="_linkedentitycore">
    <k n="%EntityCulture" t="s"/>
    <k n="%EntityId" t="s"/>
    <k n="%EntityServiceId"/>
    <k n="%IsRefreshable" t="b"/>
    <k n="%ProviderInfo" t="s"/>
    <k n="_CanonicalPropertyNames" t="spb"/>
    <k n="_Display" t="spb"/>
    <k n="_DisplayString" t="s"/>
    <k n="_Flags" t="spb"/>
    <k n="_Format" t="spb"/>
    <k n="_Icon" t="s"/>
    <k n="_SubLabel" t="spb"/>
    <k n="52 semanas de alta"/>
    <k n="52 semanas de baixa"/>
    <k n="Abreviatura do câmbio" t="s"/>
    <k n="Alto"/>
    <k n="Baixo"/>
    <k n="Bolsa" t="s"/>
    <k n="Fechamento anterior"/>
    <k n="Hora da última transação"/>
    <k n="LearnMoreOnLink" t="r"/>
    <k n="Moeda" t="s"/>
    <k n="Nome" t="s"/>
    <k n="Pendência"/>
    <k n="Preço"/>
    <k n="Símbolo do ticker" t="s"/>
    <k n="Tipo de instrumento" t="s"/>
    <k n="UniqueName" t="s"/>
    <k n="Variação"/>
    <k n="Variação (%)"/>
    <k n="Volume"/>
  </s>
</rvStructures>
</file>

<file path=xl/richData/rdsupportingpropertybag.xml><?xml version="1.0" encoding="utf-8"?>
<supportingPropertyBags xmlns="http://schemas.microsoft.com/office/spreadsheetml/2017/richdata2">
  <spbArrays count="2">
    <a count="42">
      <v t="s">%EntityServiceId</v>
      <v t="s">_Format</v>
      <v t="s">%IsRefreshable</v>
      <v t="s">_CanonicalPropertyNames</v>
      <v t="s">%EntityCulture</v>
      <v t="s">%EntityId</v>
      <v t="s">_Icon</v>
      <v t="s">_Display</v>
      <v t="s">Nome</v>
      <v t="s">_SubLabel</v>
      <v t="s">Preço</v>
      <v t="s">Bolsa</v>
      <v t="s">Nome oficial</v>
      <v t="s">Hora da última transação</v>
      <v t="s">Símbolo do ticker</v>
      <v t="s">Abreviatura do câmbio</v>
      <v t="s">Variação</v>
      <v t="s">Variação (%)</v>
      <v t="s">Moeda</v>
      <v t="s">Fechamento anterior</v>
      <v t="s">Pendência</v>
      <v t="s">Alto</v>
      <v t="s">Baixo</v>
      <v t="s">52 semanas de alta</v>
      <v t="s">52 semanas de baixa</v>
      <v t="s">Volume</v>
      <v t="s">Média de volume</v>
      <v t="s">Capitalização de mercado</v>
      <v t="s">Beta</v>
      <v t="s">Ações em circulação</v>
      <v t="s">Descrição</v>
      <v t="s">Funcionários</v>
      <v t="s">Sede</v>
      <v t="s">Setor</v>
      <v t="s">Tipo de instrumento</v>
      <v t="s">Ano de incorporação</v>
      <v t="s">_Flags</v>
      <v t="s">UniqueName</v>
      <v t="s">_DisplayString</v>
      <v t="s">LearnMoreOnLink</v>
      <v t="s">ExchangeID</v>
      <v t="s">%ProviderInfo</v>
    </a>
    <a count="31">
      <v t="s">%EntityServiceId</v>
      <v t="s">_Format</v>
      <v t="s">%IsRefreshable</v>
      <v t="s">_CanonicalPropertyNames</v>
      <v t="s">%EntityCulture</v>
      <v t="s">%EntityId</v>
      <v t="s">_Icon</v>
      <v t="s">_Display</v>
      <v t="s">Nome</v>
      <v t="s">_SubLabel</v>
      <v t="s">Preço</v>
      <v t="s">Bolsa</v>
      <v t="s">Hora da última transação</v>
      <v t="s">Símbolo do ticker</v>
      <v t="s">Abreviatura do câmbio</v>
      <v t="s">Variação</v>
      <v t="s">Variação (%)</v>
      <v t="s">Moeda</v>
      <v t="s">Fechamento anterior</v>
      <v t="s">Pendência</v>
      <v t="s">Alto</v>
      <v t="s">Baixo</v>
      <v t="s">52 semanas de alta</v>
      <v t="s">52 semanas de baixa</v>
      <v t="s">Volume</v>
      <v t="s">Tipo de instrumento</v>
      <v t="s">_Flags</v>
      <v t="s">UniqueName</v>
      <v t="s">_DisplayString</v>
      <v t="s">LearnMoreOnLink</v>
      <v t="s">%ProviderInfo</v>
    </a>
  </spbArrays>
  <spbData count="10">
    <spb s="0">
      <v>High</v>
      <v>Beta</v>
      <v>Name</v>
      <v>Headquarters</v>
      <v>Low</v>
      <v>Exchange</v>
      <v>Currency</v>
      <v>Price</v>
      <v>Industry</v>
      <v>Volume</v>
      <v>Change</v>
      <v>Description</v>
      <v>Open</v>
      <v>ExchangeID</v>
      <v>UniqueName</v>
      <v>Employees</v>
      <v>Official name</v>
      <v>Change (%)</v>
      <v>%ProviderInfo</v>
      <v>LearnMoreOnLink</v>
      <v>Volume average</v>
      <v>Ticker symbol</v>
      <v>52 week high</v>
      <v>52 week low</v>
      <v>Year incorporated</v>
      <v>Shares outstanding</v>
      <v>Previous close</v>
      <v>Instrument type</v>
      <v>Exchange abbreviation</v>
      <v>Market cap</v>
      <v>Last trade time</v>
    </spb>
    <spb s="1">
      <v>0</v>
      <v>Name</v>
      <v>LearnMoreOnLink</v>
    </spb>
    <spb s="2">
      <v>0</v>
      <v>0</v>
      <v>0</v>
    </spb>
    <spb s="3">
      <v>2</v>
      <v>2</v>
      <v>2</v>
      <v>2</v>
    </spb>
    <spb s="4">
      <v>1</v>
      <v>2</v>
      <v>3</v>
      <v>1</v>
      <v>1</v>
      <v>4</v>
      <v>1</v>
      <v>1</v>
      <v>4</v>
      <v>5</v>
      <v>4</v>
      <v>6</v>
      <v>1</v>
      <v>1</v>
      <v>7</v>
      <v>4</v>
      <v>1</v>
      <v>8</v>
      <v>9</v>
    </spb>
    <spb s="5">
      <v>Atraso de 30 minutos</v>
      <v xml:space="preserve">do fechamento anterior </v>
      <v xml:space="preserve">do fechamento anterior </v>
      <v>GMT</v>
    </spb>
    <spb s="6">
      <v>High</v>
      <v>Name</v>
      <v>Low</v>
      <v>Exchange</v>
      <v>Currency</v>
      <v>Price</v>
      <v>Volume</v>
      <v>Change</v>
      <v>Open</v>
      <v>UniqueName</v>
      <v>Change (%)</v>
      <v>%ProviderInfo</v>
      <v>LearnMoreOnLink</v>
      <v>Ticker symbol</v>
      <v>52 week high</v>
      <v>52 week low</v>
      <v>Previous close</v>
      <v>Instrument type</v>
      <v>Exchange abbreviation</v>
      <v>Last trade time</v>
    </spb>
    <spb s="1">
      <v>1</v>
      <v>Name</v>
      <v>LearnMoreOnLink</v>
    </spb>
    <spb s="7">
      <v>2</v>
      <v>2</v>
      <v>2</v>
    </spb>
    <spb s="8">
      <v>1</v>
      <v>3</v>
      <v>1</v>
      <v>1</v>
      <v>4</v>
      <v>1</v>
      <v>1</v>
      <v>5</v>
      <v>6</v>
      <v>1</v>
      <v>1</v>
      <v>1</v>
      <v>9</v>
    </spb>
  </spbData>
</supportingPropertyBags>
</file>

<file path=xl/richData/rdsupportingpropertybagstructure.xml><?xml version="1.0" encoding="utf-8"?>
<spbStructures xmlns="http://schemas.microsoft.com/office/spreadsheetml/2017/richdata2" count="9">
  <s>
    <k n="Alto" t="s"/>
    <k n="Beta" t="s"/>
    <k n="Nome" t="s"/>
    <k n="Sede" t="s"/>
    <k n="Baixo" t="s"/>
    <k n="Bolsa" t="s"/>
    <k n="Moeda" t="s"/>
    <k n="Preço" t="s"/>
    <k n="Setor" t="s"/>
    <k n="Volume" t="s"/>
    <k n="Variação" t="s"/>
    <k n="Descrição" t="s"/>
    <k n="Pendência" t="s"/>
    <k n="ExchangeID" t="s"/>
    <k n="UniqueName" t="s"/>
    <k n="Funcionários" t="s"/>
    <k n="Nome oficial" t="s"/>
    <k n="Variação (%)" t="s"/>
    <k n="%ProviderInfo" t="s"/>
    <k n="LearnMoreOnLink" t="s"/>
    <k n="Média de volume" t="s"/>
    <k n="Símbolo do ticker" t="s"/>
    <k n="52 semanas de alta" t="s"/>
    <k n="52 semanas de baixa" t="s"/>
    <k n="Ano de incorporação" t="s"/>
    <k n="Ações em circulação" t="s"/>
    <k n="Fechamento anterior" t="s"/>
    <k n="Tipo de instrumento" t="s"/>
    <k n="Abreviatura do câmbio" t="s"/>
    <k n="Capitalização de mercado" t="s"/>
    <k n="Hora da última transação" t="s"/>
  </s>
  <s>
    <k n="^Order" t="spba"/>
    <k n="TitleProperty" t="s"/>
    <k n="SubTitleProperty" t="s"/>
  </s>
  <s>
    <k n="ShowInCardView" t="b"/>
    <k n="ShowInDotNotation" t="b"/>
    <k n="ShowInAutoComplete" t="b"/>
  </s>
  <s>
    <k n="ExchangeID" t="spb"/>
    <k n="UniqueName" t="spb"/>
    <k n="`%ProviderInfo" t="spb"/>
    <k n="LearnMoreOnLink" t="spb"/>
  </s>
  <s>
    <k n="Alto" t="i"/>
    <k n="Beta" t="i"/>
    <k n="Nome" t="i"/>
    <k n="Baixo" t="i"/>
    <k n="Preço" t="i"/>
    <k n="Volume" t="i"/>
    <k n="Variação" t="i"/>
    <k n="Pendência" t="i"/>
    <k n="Funcionários" t="i"/>
    <k n="Variação (%)" t="i"/>
    <k n="Média de volume" t="i"/>
    <k n="`%EntityServiceId" t="i"/>
    <k n="52 semanas de alta" t="i"/>
    <k n="52 semanas de baixa" t="i"/>
    <k n="Ano de incorporação" t="i"/>
    <k n="Ações em circulação" t="i"/>
    <k n="Fechamento anterior" t="i"/>
    <k n="Capitalização de mercado" t="i"/>
    <k n="Hora da última transação" t="i"/>
  </s>
  <s>
    <k n="Preço" t="s"/>
    <k n="Variação" t="s"/>
    <k n="Variação (%)" t="s"/>
    <k n="Hora da última transação" t="s"/>
  </s>
  <s>
    <k n="Alto" t="s"/>
    <k n="Nome" t="s"/>
    <k n="Baixo" t="s"/>
    <k n="Bolsa" t="s"/>
    <k n="Moeda" t="s"/>
    <k n="Preço" t="s"/>
    <k n="Volume" t="s"/>
    <k n="Variação" t="s"/>
    <k n="Pendência" t="s"/>
    <k n="UniqueName" t="s"/>
    <k n="Variação (%)" t="s"/>
    <k n="%ProviderInfo" t="s"/>
    <k n="LearnMoreOnLink" t="s"/>
    <k n="Símbolo do ticker" t="s"/>
    <k n="52 semanas de alta" t="s"/>
    <k n="52 semanas de baixa" t="s"/>
    <k n="Fechamento anterior" t="s"/>
    <k n="Tipo de instrumento" t="s"/>
    <k n="Abreviatura do câmbio" t="s"/>
    <k n="Hora da última transação" t="s"/>
  </s>
  <s>
    <k n="UniqueName" t="spb"/>
    <k n="`%ProviderInfo" t="spb"/>
    <k n="LearnMoreOnLink" t="spb"/>
  </s>
  <s>
    <k n="Alto" t="i"/>
    <k n="Nome" t="i"/>
    <k n="Baixo" t="i"/>
    <k n="Preço" t="i"/>
    <k n="Volume" t="i"/>
    <k n="Variação" t="i"/>
    <k n="Pendência" t="i"/>
    <k n="Variação (%)" t="i"/>
    <k n="`%EntityServiceId" t="i"/>
    <k n="52 semanas de alta" t="i"/>
    <k n="52 semanas de baixa" t="i"/>
    <k n="Fechamento anterior" t="i"/>
    <k n="Hora da última transação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2" formatCode="0.00"/>
    </x:dxf>
    <x:dxf>
      <x:numFmt numFmtId="0" formatCode="General"/>
    </x:dxf>
    <x:dxf>
      <x:numFmt numFmtId="27" formatCode="dd/mm/yyyy\ hh:mm"/>
    </x:dxf>
    <x:dxf>
      <x:numFmt numFmtId="14" formatCode="0.00%"/>
    </x:dxf>
    <x:dxf>
      <x:numFmt numFmtId="3" formatCode="#,##0"/>
    </x:dxf>
    <x:dxf>
      <x:numFmt numFmtId="4" formatCode="#,##0.00"/>
    </x:dxf>
    <x:dxf>
      <x:numFmt numFmtId="1" formatCode="0"/>
    </x:dxf>
  </dxfs>
  <richProperties>
    <rPr n="NumberFormat" t="s"/>
    <rPr n="IsTitleField" t="b"/>
  </richProperties>
  <richStyles>
    <rSty dxfid="1">
      <rpv i="0">_-[$R$-pt-BR] * #,##0.00_-;-[$R$-pt-BR] * #,##0.00_-;_-[$R$-pt-BR] * "-"??_-;_-@_-</rpv>
    </rSty>
    <rSty dxfid="5">
      <rpv i="0">#,##0.00</rpv>
    </rSty>
    <rSty>
      <rpv i="1">1</rpv>
    </rSty>
    <rSty dxfid="4">
      <rpv i="0">#,##0</rpv>
    </rSty>
    <rSty dxfid="3"/>
    <rSty dxfid="0">
      <rpv i="0">0.00</rpv>
    </rSty>
    <rSty dxfid="6">
      <rpv i="0">0</rpv>
    </rSty>
    <rSty dxfid="1">
      <rpv i="0">_-[$R$-pt-BR] * #,##0_-;-[$R$-pt-BR] * #,##0_-;_-[$R$-pt-BR] * "-"_-;_-@_-</rpv>
    </rSty>
    <rSty dxfid="2"/>
  </richStyles>
</richStyleSheet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1" xr10:uid="{2B25EA95-5AD2-4CE3-A8E7-54253505FFDB}" sourceName="DATA">
  <pivotTables>
    <pivotTable tabId="7" name="Tabela dinâmica50"/>
  </pivotTables>
  <data>
    <tabular pivotCacheId="1368602315">
      <items count="6">
        <i x="0" s="1"/>
        <i x="1" s="1"/>
        <i x="2" s="1"/>
        <i x="3" s="1"/>
        <i x="4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ASSIFICAÇÃO1" xr10:uid="{122FAD4E-A380-479A-945E-0EBEA272EA22}" sourceName="CLASSIFICAÇÃO">
  <pivotTables>
    <pivotTable tabId="7" name="Tabela dinâmica50"/>
  </pivotTables>
  <data>
    <tabular pivotCacheId="1368602315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E371C936-1636-4FDB-A384-EE8D6D83B212}" sourceName="DATA">
  <extLst>
    <x:ext xmlns:x15="http://schemas.microsoft.com/office/spreadsheetml/2010/11/main" uri="{2F2917AC-EB37-4324-AD4E-5DD8C200BD13}">
      <x15:tableSlicerCache tableId="5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ASSIFICAÇÃO" xr10:uid="{AB655A20-F97F-47E7-AE5C-9553D8F3910A}" sourceName="CLASSIFICAÇÃO">
  <extLst>
    <x:ext xmlns:x15="http://schemas.microsoft.com/office/spreadsheetml/2010/11/main" uri="{2F2917AC-EB37-4324-AD4E-5DD8C200BD13}">
      <x15:tableSlicerCache tableId="5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3" xr10:uid="{C01F6FDF-1546-4EFE-AEEE-98E019E99787}" cache="SegmentaçãodeDados_DATA1" caption="DATA APORTES" style="SlicerStyleDark1" rowHeight="257175"/>
  <slicer name="CLASSIFICAÇÃO 3" xr10:uid="{40978C6E-051D-4BCA-8B76-4E205FD80BD8}" cache="SegmentaçãodeDados_CLASSIFICAÇÃO1" caption="TIPO DE ATIVO" style="SlicerStyleDark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E032B6A8-837A-4891-A1AE-9427D9D7E40A}" cache="SegmentaçãodeDados_DATA" caption="DATA" rowHeight="257175"/>
  <slicer name="CLASSIFICAÇÃO" xr10:uid="{A99333D3-611A-48E1-8E25-0ECF8D5E0B6D}" cache="SegmentaçãodeDados_CLASSIFICAÇÃO" caption="CLASSIFICAÇÃO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237D9C-5462-4123-BA93-0C2A658990FA}" name="Tabela2" displayName="Tabela2" ref="A4:D8" totalsRowShown="0">
  <autoFilter ref="A4:D8" xr:uid="{C6237D9C-5462-4123-BA93-0C2A658990FA}"/>
  <tableColumns count="4">
    <tableColumn id="1" xr3:uid="{27806052-422B-499C-B5DF-8D1B30B1AD63}" name="DATA" dataDxfId="20"/>
    <tableColumn id="2" xr3:uid="{1F084EC6-CB6D-415A-8A39-82422E2821C0}" name="ATIVO"/>
    <tableColumn id="3" xr3:uid="{F7898FAF-8FF4-4715-8DF7-16C887F4DBF6}" name="VALOR INVESTIDO" dataDxfId="19" dataCellStyle="Moeda"/>
    <tableColumn id="4" xr3:uid="{262BF1B8-8566-405C-B1F5-8E418CA32A0C}" name="VALOR TOTAL" dataDxfId="18" dataCellStyle="Mo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BA294D-B1FF-47D5-9453-9A87251894C5}" name="Tabela24" displayName="Tabela24" ref="A11:D35" totalsRowShown="0">
  <autoFilter ref="A11:D35" xr:uid="{43BA294D-B1FF-47D5-9453-9A87251894C5}"/>
  <tableColumns count="4">
    <tableColumn id="1" xr3:uid="{B32E52F4-4235-4ED0-BDD3-F4CA459AD33A}" name="DATA" dataDxfId="17"/>
    <tableColumn id="2" xr3:uid="{2F28E2F2-67F8-4D66-BF74-54DA20367250}" name="ATIVO"/>
    <tableColumn id="3" xr3:uid="{49F8C1F1-E98E-4C4D-BB18-28D0BDE73655}" name="VALOR INVESTIDO" dataDxfId="16" dataCellStyle="Moeda"/>
    <tableColumn id="4" xr3:uid="{F68067A7-9E0A-4390-AF5F-ED4160A7A7E8}" name="CLASSIFICAÇÃO" dataDxfId="15" dataCellStyle="Mo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3D048F-FE68-4C3B-A73F-3F2EB40F1A36}" name="Tabela1" displayName="Tabela1" ref="A4:H8" totalsRowShown="0">
  <autoFilter ref="A4:H8" xr:uid="{863D048F-FE68-4C3B-A73F-3F2EB40F1A36}"/>
  <tableColumns count="8">
    <tableColumn id="1" xr3:uid="{DE5AB301-90F5-41CB-A62E-819324ECF52F}" name="QTD ATIVO" dataDxfId="14"/>
    <tableColumn id="2" xr3:uid="{C4E48633-7BB3-48A0-99F1-B2319DFA82C4}" name="ATIVO"/>
    <tableColumn id="3" xr3:uid="{12E6557D-F895-41D1-AD43-E0A587CFB4D0}" name="CATEGORIA"/>
    <tableColumn id="4" xr3:uid="{9948B015-59E1-4581-A621-426F1E7ECF05}" name="VALOR INVESTIDO" dataDxfId="13" dataCellStyle="Moeda"/>
    <tableColumn id="5" xr3:uid="{6545676B-3FE5-4108-B9FC-C2EF81C4AF03}" name="VALOR DA AÇÃO" dataDxfId="12" dataCellStyle="Moeda">
      <calculatedColumnFormula array="1">_FV(B5,"Preço")</calculatedColumnFormula>
    </tableColumn>
    <tableColumn id="6" xr3:uid="{783FEA17-EC3C-4D2A-A3C4-7C3F1CC66C9C}" name="PREÇO MÉDIO" dataDxfId="11">
      <calculatedColumnFormula>D5/A5</calculatedColumnFormula>
    </tableColumn>
    <tableColumn id="7" xr3:uid="{D6ACA6E3-2D16-48CD-B253-D6780A1B19FC}" name="LUCRO OU PREJUIZO" dataDxfId="10">
      <calculatedColumnFormula>(E5*A5)-(F5*A5)</calculatedColumnFormula>
    </tableColumn>
    <tableColumn id="8" xr3:uid="{F1AB5CC0-D7D0-44C0-91B9-B3E34F4AC931}" name="VALOR TOTAL" dataDxfId="9">
      <calculatedColumnFormula>Tabela1[[#This Row],[VALOR INVESTIDO]]+Tabela1[[#This Row],[LUCRO OU PREJUIZO]]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84DDA1-B5DA-4CCB-8652-A779D2144911}" name="Tabela4" displayName="Tabela4" ref="A11:D35" totalsRowShown="0" headerRowDxfId="8" headerRowBorderDxfId="7" tableBorderDxfId="6">
  <autoFilter ref="A11:D35" xr:uid="{9C84DDA1-B5DA-4CCB-8652-A779D2144911}"/>
  <tableColumns count="4">
    <tableColumn id="1" xr3:uid="{27EEA63A-2356-4B4C-A7E0-7E5068BC838C}" name="DATA" dataDxfId="5"/>
    <tableColumn id="2" xr3:uid="{B491AF7A-67DD-4A6F-8C28-3DF8EE1E1A8F}" name="ATIVO" dataDxfId="4"/>
    <tableColumn id="3" xr3:uid="{FBDAF675-0165-4017-8E3B-408A7E4FC5C5}" name="VALOR INVESTIDO"/>
    <tableColumn id="4" xr3:uid="{813838DD-5978-4325-A266-FE1E1B904A97}" name="CLASSIFICAÇÃ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CC0AFC-614F-465F-9E5E-761C33D9AD1E}" name="Tabela246" displayName="Tabela246" ref="A1:D49" totalsRowShown="0">
  <autoFilter ref="A1:D49" xr:uid="{37CC0AFC-614F-465F-9E5E-761C33D9AD1E}"/>
  <sortState xmlns:xlrd2="http://schemas.microsoft.com/office/spreadsheetml/2017/richdata2" ref="A2:D49">
    <sortCondition ref="A1:A49"/>
  </sortState>
  <tableColumns count="4">
    <tableColumn id="1" xr3:uid="{649771DB-2F92-464D-B5D9-064AF36752DC}" name="DATA" dataDxfId="2"/>
    <tableColumn id="2" xr3:uid="{7D20E009-4E7C-4C9E-8A22-AF90F48CFA8A}" name="ATIVO"/>
    <tableColumn id="3" xr3:uid="{ED5AF5A0-5A6C-4B27-9FF0-7BFD63452CB1}" name="VALOR INVESTIDO" dataDxfId="1" dataCellStyle="Moeda"/>
    <tableColumn id="4" xr3:uid="{8ED1D970-66EE-4F68-9D33-D54258D95206}" name="CLASSIFICAÇÃO" dataDxfId="0" dataCellStyle="Moeda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D008-F5DC-40A3-A09F-160E510D2637}">
  <sheetPr codeName="Planilha1"/>
  <dimension ref="A1:T36"/>
  <sheetViews>
    <sheetView showGridLines="0" showRowColHeaders="0" tabSelected="1" zoomScale="80" zoomScaleNormal="80" workbookViewId="0">
      <selection activeCell="D2" sqref="D2"/>
    </sheetView>
  </sheetViews>
  <sheetFormatPr defaultColWidth="0" defaultRowHeight="15" zeroHeight="1" x14ac:dyDescent="0.25"/>
  <cols>
    <col min="1" max="1" width="30.28515625" style="5" customWidth="1"/>
    <col min="2" max="4" width="16.85546875" style="21" bestFit="1" customWidth="1"/>
    <col min="5" max="19" width="9.140625" style="21" customWidth="1"/>
    <col min="20" max="20" width="2.85546875" style="5" customWidth="1"/>
    <col min="21" max="16384" width="9.140625" style="21" hidden="1"/>
  </cols>
  <sheetData>
    <row r="1" spans="1:4" s="5" customFormat="1" ht="45" customHeight="1" x14ac:dyDescent="0.25">
      <c r="A1" s="8">
        <f ca="1">NOW()</f>
        <v>45646.838925231481</v>
      </c>
    </row>
    <row r="2" spans="1:4" s="5" customFormat="1" ht="59.25" customHeight="1" x14ac:dyDescent="0.25">
      <c r="A2" s="7"/>
      <c r="B2" s="6" t="str">
        <f ca="1">IF(HOUR(NOW())&lt;12,"BOM DIA!",IF(HOUR(NOW())&lt;18,"BOA TARDE!","BOA NOITE!"))</f>
        <v>BOA NOITE!</v>
      </c>
      <c r="C2" s="30" t="s">
        <v>34</v>
      </c>
    </row>
    <row r="3" spans="1:4" x14ac:dyDescent="0.25"/>
    <row r="4" spans="1:4" x14ac:dyDescent="0.25"/>
    <row r="5" spans="1:4" x14ac:dyDescent="0.25"/>
    <row r="6" spans="1:4" x14ac:dyDescent="0.25"/>
    <row r="7" spans="1:4" x14ac:dyDescent="0.25"/>
    <row r="8" spans="1:4" x14ac:dyDescent="0.25"/>
    <row r="9" spans="1:4" x14ac:dyDescent="0.25"/>
    <row r="10" spans="1:4" x14ac:dyDescent="0.25"/>
    <row r="11" spans="1:4" x14ac:dyDescent="0.25">
      <c r="B11" s="22"/>
      <c r="C11" s="23"/>
      <c r="D11" s="23"/>
    </row>
    <row r="12" spans="1:4" x14ac:dyDescent="0.25">
      <c r="B12" s="22"/>
      <c r="C12" s="23"/>
      <c r="D12" s="23"/>
    </row>
    <row r="13" spans="1:4" x14ac:dyDescent="0.25">
      <c r="B13" s="22"/>
      <c r="C13" s="23"/>
      <c r="D13" s="23"/>
    </row>
    <row r="14" spans="1:4" x14ac:dyDescent="0.25">
      <c r="B14" s="22"/>
      <c r="C14" s="23"/>
      <c r="D14" s="23"/>
    </row>
    <row r="15" spans="1:4" x14ac:dyDescent="0.25">
      <c r="B15" s="22"/>
      <c r="C15" s="23"/>
      <c r="D15" s="23"/>
    </row>
    <row r="16" spans="1:4" x14ac:dyDescent="0.25">
      <c r="B16" s="22"/>
      <c r="C16" s="23"/>
      <c r="D16" s="23"/>
    </row>
    <row r="17" spans="3:4" x14ac:dyDescent="0.25">
      <c r="C17" s="23"/>
      <c r="D17" s="23"/>
    </row>
    <row r="18" spans="3:4" x14ac:dyDescent="0.25"/>
    <row r="19" spans="3:4" x14ac:dyDescent="0.25"/>
    <row r="20" spans="3:4" x14ac:dyDescent="0.25"/>
    <row r="21" spans="3:4" x14ac:dyDescent="0.25"/>
    <row r="22" spans="3:4" x14ac:dyDescent="0.25"/>
    <row r="23" spans="3:4" x14ac:dyDescent="0.25"/>
    <row r="24" spans="3:4" x14ac:dyDescent="0.25"/>
    <row r="25" spans="3:4" x14ac:dyDescent="0.25"/>
    <row r="26" spans="3:4" x14ac:dyDescent="0.25"/>
    <row r="27" spans="3:4" x14ac:dyDescent="0.25"/>
    <row r="28" spans="3:4" x14ac:dyDescent="0.25"/>
    <row r="29" spans="3:4" x14ac:dyDescent="0.25"/>
    <row r="30" spans="3:4" x14ac:dyDescent="0.25"/>
    <row r="31" spans="3:4" x14ac:dyDescent="0.25"/>
    <row r="32" spans="3:4" x14ac:dyDescent="0.25"/>
    <row r="33" x14ac:dyDescent="0.25"/>
    <row r="34" x14ac:dyDescent="0.25"/>
    <row r="35" x14ac:dyDescent="0.25"/>
    <row r="36" s="5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6BFA9-DA76-4254-A141-3AE16AD01996}">
  <sheetPr codeName="Planilha2"/>
  <dimension ref="A1:D35"/>
  <sheetViews>
    <sheetView showGridLines="0" zoomScale="130" zoomScaleNormal="130" workbookViewId="0">
      <selection activeCell="A10" sqref="A10:D10"/>
    </sheetView>
  </sheetViews>
  <sheetFormatPr defaultColWidth="0" defaultRowHeight="15" x14ac:dyDescent="0.25"/>
  <cols>
    <col min="1" max="1" width="16.42578125" style="13" bestFit="1" customWidth="1"/>
    <col min="2" max="2" width="18.28515625" customWidth="1"/>
    <col min="3" max="3" width="19.85546875" bestFit="1" customWidth="1"/>
    <col min="4" max="4" width="25.140625" customWidth="1"/>
    <col min="5" max="16384" width="9.140625" hidden="1"/>
  </cols>
  <sheetData>
    <row r="1" spans="1:4" x14ac:dyDescent="0.25">
      <c r="A1" s="31" t="s">
        <v>31</v>
      </c>
      <c r="B1" s="31"/>
      <c r="C1" s="31"/>
      <c r="D1" s="31"/>
    </row>
    <row r="3" spans="1:4" x14ac:dyDescent="0.25">
      <c r="A3" s="31" t="s">
        <v>32</v>
      </c>
      <c r="B3" s="31"/>
      <c r="C3" s="31"/>
      <c r="D3" s="31"/>
    </row>
    <row r="4" spans="1:4" x14ac:dyDescent="0.25">
      <c r="A4" s="13" t="s">
        <v>0</v>
      </c>
      <c r="B4" t="s">
        <v>3</v>
      </c>
      <c r="C4" t="s">
        <v>15</v>
      </c>
      <c r="D4" t="s">
        <v>26</v>
      </c>
    </row>
    <row r="5" spans="1:4" x14ac:dyDescent="0.25">
      <c r="A5" s="14" t="s">
        <v>10</v>
      </c>
      <c r="B5" t="s">
        <v>6</v>
      </c>
      <c r="C5" s="1">
        <f>SUMIF(Tabela24[ATIVO],Tabela2[[#This Row],[ATIVO]],Tabela24[VALOR INVESTIDO])</f>
        <v>3000</v>
      </c>
      <c r="D5" s="1">
        <v>3300</v>
      </c>
    </row>
    <row r="6" spans="1:4" x14ac:dyDescent="0.25">
      <c r="A6" s="14">
        <v>45366</v>
      </c>
      <c r="B6" t="s">
        <v>7</v>
      </c>
      <c r="C6" s="1">
        <f>SUMIF(Tabela24[ATIVO],Tabela2[[#This Row],[ATIVO]],Tabela24[VALOR INVESTIDO])</f>
        <v>5000</v>
      </c>
      <c r="D6" s="1">
        <v>5500</v>
      </c>
    </row>
    <row r="7" spans="1:4" x14ac:dyDescent="0.25">
      <c r="A7" s="14">
        <v>45490</v>
      </c>
      <c r="B7" t="s">
        <v>8</v>
      </c>
      <c r="C7" s="1">
        <f>SUMIF(Tabela24[ATIVO],Tabela2[[#This Row],[ATIVO]],Tabela24[VALOR INVESTIDO])</f>
        <v>2000</v>
      </c>
      <c r="D7" s="1">
        <v>2200</v>
      </c>
    </row>
    <row r="8" spans="1:4" x14ac:dyDescent="0.25">
      <c r="A8" s="14">
        <v>45595</v>
      </c>
      <c r="B8" t="s">
        <v>9</v>
      </c>
      <c r="C8" s="1">
        <f>SUMIF(Tabela24[ATIVO],Tabela2[[#This Row],[ATIVO]],Tabela24[VALOR INVESTIDO])</f>
        <v>50000</v>
      </c>
      <c r="D8" s="1">
        <v>44000</v>
      </c>
    </row>
    <row r="9" spans="1:4" x14ac:dyDescent="0.25">
      <c r="C9" s="1"/>
      <c r="D9" s="1"/>
    </row>
    <row r="10" spans="1:4" x14ac:dyDescent="0.25">
      <c r="A10" s="31" t="s">
        <v>27</v>
      </c>
      <c r="B10" s="31"/>
      <c r="C10" s="31"/>
      <c r="D10" s="31"/>
    </row>
    <row r="11" spans="1:4" x14ac:dyDescent="0.25">
      <c r="A11" s="13" t="s">
        <v>0</v>
      </c>
      <c r="B11" t="s">
        <v>3</v>
      </c>
      <c r="C11" t="s">
        <v>15</v>
      </c>
      <c r="D11" t="s">
        <v>28</v>
      </c>
    </row>
    <row r="12" spans="1:4" x14ac:dyDescent="0.25">
      <c r="A12" s="15">
        <v>45292</v>
      </c>
      <c r="B12" t="s">
        <v>6</v>
      </c>
      <c r="C12" s="1">
        <v>500</v>
      </c>
      <c r="D12" s="1" t="s">
        <v>29</v>
      </c>
    </row>
    <row r="13" spans="1:4" x14ac:dyDescent="0.25">
      <c r="A13" s="15">
        <v>45292</v>
      </c>
      <c r="B13" t="s">
        <v>7</v>
      </c>
      <c r="C13" s="1">
        <v>800</v>
      </c>
      <c r="D13" s="1" t="s">
        <v>29</v>
      </c>
    </row>
    <row r="14" spans="1:4" x14ac:dyDescent="0.25">
      <c r="A14" s="15">
        <v>45292</v>
      </c>
      <c r="B14" t="s">
        <v>8</v>
      </c>
      <c r="C14" s="1">
        <v>100</v>
      </c>
      <c r="D14" s="1" t="s">
        <v>29</v>
      </c>
    </row>
    <row r="15" spans="1:4" x14ac:dyDescent="0.25">
      <c r="A15" s="15">
        <v>45292</v>
      </c>
      <c r="B15" t="s">
        <v>9</v>
      </c>
      <c r="C15" s="1">
        <v>10000</v>
      </c>
      <c r="D15" s="1" t="s">
        <v>29</v>
      </c>
    </row>
    <row r="16" spans="1:4" x14ac:dyDescent="0.25">
      <c r="A16" s="15">
        <v>45323</v>
      </c>
      <c r="B16" t="s">
        <v>6</v>
      </c>
      <c r="C16" s="1">
        <v>700</v>
      </c>
      <c r="D16" s="1" t="s">
        <v>29</v>
      </c>
    </row>
    <row r="17" spans="1:4" x14ac:dyDescent="0.25">
      <c r="A17" s="15">
        <v>45323</v>
      </c>
      <c r="B17" t="s">
        <v>7</v>
      </c>
      <c r="C17" s="1">
        <v>1000</v>
      </c>
      <c r="D17" s="1" t="s">
        <v>29</v>
      </c>
    </row>
    <row r="18" spans="1:4" x14ac:dyDescent="0.25">
      <c r="A18" s="15">
        <v>45323</v>
      </c>
      <c r="B18" t="s">
        <v>8</v>
      </c>
      <c r="C18" s="1">
        <v>250</v>
      </c>
      <c r="D18" s="1" t="s">
        <v>29</v>
      </c>
    </row>
    <row r="19" spans="1:4" x14ac:dyDescent="0.25">
      <c r="A19" s="15">
        <v>45323</v>
      </c>
      <c r="B19" t="s">
        <v>9</v>
      </c>
      <c r="C19" s="1">
        <v>10000</v>
      </c>
      <c r="D19" s="1" t="s">
        <v>29</v>
      </c>
    </row>
    <row r="20" spans="1:4" x14ac:dyDescent="0.25">
      <c r="A20" s="15">
        <v>45352</v>
      </c>
      <c r="B20" t="s">
        <v>6</v>
      </c>
      <c r="C20" s="1">
        <v>400</v>
      </c>
      <c r="D20" s="1" t="s">
        <v>29</v>
      </c>
    </row>
    <row r="21" spans="1:4" x14ac:dyDescent="0.25">
      <c r="A21" s="15">
        <v>45352</v>
      </c>
      <c r="B21" t="s">
        <v>7</v>
      </c>
      <c r="C21" s="1">
        <v>1500</v>
      </c>
      <c r="D21" s="1" t="s">
        <v>29</v>
      </c>
    </row>
    <row r="22" spans="1:4" x14ac:dyDescent="0.25">
      <c r="A22" s="15">
        <v>45352</v>
      </c>
      <c r="B22" t="s">
        <v>8</v>
      </c>
      <c r="C22" s="1">
        <v>150</v>
      </c>
      <c r="D22" s="1" t="s">
        <v>29</v>
      </c>
    </row>
    <row r="23" spans="1:4" x14ac:dyDescent="0.25">
      <c r="A23" s="15">
        <v>45352</v>
      </c>
      <c r="B23" t="s">
        <v>9</v>
      </c>
      <c r="C23" s="1">
        <v>10000</v>
      </c>
      <c r="D23" s="1" t="s">
        <v>29</v>
      </c>
    </row>
    <row r="24" spans="1:4" x14ac:dyDescent="0.25">
      <c r="A24" s="15">
        <v>45383</v>
      </c>
      <c r="B24" t="s">
        <v>6</v>
      </c>
      <c r="C24" s="1">
        <v>800</v>
      </c>
      <c r="D24" s="1" t="s">
        <v>29</v>
      </c>
    </row>
    <row r="25" spans="1:4" x14ac:dyDescent="0.25">
      <c r="A25" s="15">
        <v>45383</v>
      </c>
      <c r="B25" t="s">
        <v>7</v>
      </c>
      <c r="C25" s="1">
        <v>500</v>
      </c>
      <c r="D25" s="1" t="s">
        <v>29</v>
      </c>
    </row>
    <row r="26" spans="1:4" x14ac:dyDescent="0.25">
      <c r="A26" s="15">
        <v>45383</v>
      </c>
      <c r="B26" t="s">
        <v>8</v>
      </c>
      <c r="C26" s="1">
        <v>300</v>
      </c>
      <c r="D26" s="1" t="s">
        <v>29</v>
      </c>
    </row>
    <row r="27" spans="1:4" x14ac:dyDescent="0.25">
      <c r="A27" s="15">
        <v>45383</v>
      </c>
      <c r="B27" t="s">
        <v>9</v>
      </c>
      <c r="C27" s="1">
        <v>9000</v>
      </c>
      <c r="D27" s="1" t="s">
        <v>29</v>
      </c>
    </row>
    <row r="28" spans="1:4" x14ac:dyDescent="0.25">
      <c r="A28" s="15">
        <v>45413</v>
      </c>
      <c r="B28" t="s">
        <v>6</v>
      </c>
      <c r="C28" s="1">
        <v>300</v>
      </c>
      <c r="D28" s="1" t="s">
        <v>29</v>
      </c>
    </row>
    <row r="29" spans="1:4" x14ac:dyDescent="0.25">
      <c r="A29" s="15">
        <v>45413</v>
      </c>
      <c r="B29" t="s">
        <v>7</v>
      </c>
      <c r="C29" s="1">
        <v>200</v>
      </c>
      <c r="D29" s="1" t="s">
        <v>29</v>
      </c>
    </row>
    <row r="30" spans="1:4" x14ac:dyDescent="0.25">
      <c r="A30" s="15">
        <v>45413</v>
      </c>
      <c r="B30" t="s">
        <v>8</v>
      </c>
      <c r="C30" s="1">
        <v>600</v>
      </c>
      <c r="D30" s="1" t="s">
        <v>29</v>
      </c>
    </row>
    <row r="31" spans="1:4" x14ac:dyDescent="0.25">
      <c r="A31" s="15">
        <v>45413</v>
      </c>
      <c r="B31" t="s">
        <v>9</v>
      </c>
      <c r="C31" s="1">
        <v>6000</v>
      </c>
      <c r="D31" s="1" t="s">
        <v>29</v>
      </c>
    </row>
    <row r="32" spans="1:4" x14ac:dyDescent="0.25">
      <c r="A32" s="15">
        <v>45444</v>
      </c>
      <c r="B32" t="s">
        <v>6</v>
      </c>
      <c r="C32" s="1">
        <v>300</v>
      </c>
      <c r="D32" s="1" t="s">
        <v>29</v>
      </c>
    </row>
    <row r="33" spans="1:4" x14ac:dyDescent="0.25">
      <c r="A33" s="15">
        <v>45444</v>
      </c>
      <c r="B33" t="s">
        <v>7</v>
      </c>
      <c r="C33" s="1">
        <v>1000</v>
      </c>
      <c r="D33" s="1" t="s">
        <v>29</v>
      </c>
    </row>
    <row r="34" spans="1:4" x14ac:dyDescent="0.25">
      <c r="A34" s="15">
        <v>45444</v>
      </c>
      <c r="B34" t="s">
        <v>8</v>
      </c>
      <c r="C34" s="1">
        <v>600</v>
      </c>
      <c r="D34" s="1" t="s">
        <v>29</v>
      </c>
    </row>
    <row r="35" spans="1:4" x14ac:dyDescent="0.25">
      <c r="A35" s="15">
        <v>45444</v>
      </c>
      <c r="B35" t="s">
        <v>9</v>
      </c>
      <c r="C35" s="1">
        <v>5000</v>
      </c>
      <c r="D35" s="1" t="s">
        <v>29</v>
      </c>
    </row>
  </sheetData>
  <mergeCells count="3">
    <mergeCell ref="A1:D1"/>
    <mergeCell ref="A3:D3"/>
    <mergeCell ref="A10:D10"/>
  </mergeCells>
  <phoneticPr fontId="5" type="noConversion"/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87659-BD10-40DC-A4D6-18BC463C2BEC}">
  <sheetPr codeName="Planilha3"/>
  <dimension ref="A1:H35"/>
  <sheetViews>
    <sheetView showGridLines="0" workbookViewId="0">
      <selection activeCell="A18" sqref="A18"/>
    </sheetView>
  </sheetViews>
  <sheetFormatPr defaultColWidth="0" defaultRowHeight="15" x14ac:dyDescent="0.25"/>
  <cols>
    <col min="1" max="1" width="12.85546875" bestFit="1" customWidth="1"/>
    <col min="2" max="2" width="56.7109375" bestFit="1" customWidth="1"/>
    <col min="3" max="3" width="19.85546875" bestFit="1" customWidth="1"/>
    <col min="4" max="4" width="19.42578125" customWidth="1"/>
    <col min="5" max="5" width="17.7109375" customWidth="1"/>
    <col min="6" max="6" width="16.140625" customWidth="1"/>
    <col min="7" max="7" width="21.7109375" customWidth="1"/>
    <col min="8" max="8" width="13.28515625" bestFit="1" customWidth="1"/>
    <col min="9" max="16384" width="9.140625" hidden="1"/>
  </cols>
  <sheetData>
    <row r="1" spans="1:8" x14ac:dyDescent="0.25">
      <c r="A1" s="31" t="s">
        <v>33</v>
      </c>
      <c r="B1" s="31"/>
      <c r="C1" s="31"/>
      <c r="D1" s="31"/>
      <c r="E1" s="31"/>
      <c r="F1" s="31"/>
      <c r="G1" s="31"/>
      <c r="H1" s="31"/>
    </row>
    <row r="2" spans="1:8" x14ac:dyDescent="0.25">
      <c r="B2" s="1"/>
      <c r="C2" s="1"/>
    </row>
    <row r="3" spans="1:8" x14ac:dyDescent="0.25">
      <c r="A3" s="31" t="s">
        <v>32</v>
      </c>
      <c r="B3" s="31"/>
      <c r="C3" s="31"/>
      <c r="D3" s="31"/>
      <c r="E3" s="31"/>
      <c r="F3" s="31"/>
      <c r="G3" s="31"/>
      <c r="H3" s="31"/>
    </row>
    <row r="4" spans="1:8" x14ac:dyDescent="0.25">
      <c r="A4" t="s">
        <v>14</v>
      </c>
      <c r="B4" t="s">
        <v>3</v>
      </c>
      <c r="C4" t="s">
        <v>11</v>
      </c>
      <c r="D4" t="s">
        <v>15</v>
      </c>
      <c r="E4" t="s">
        <v>16</v>
      </c>
      <c r="F4" t="s">
        <v>17</v>
      </c>
      <c r="G4" t="s">
        <v>18</v>
      </c>
      <c r="H4" t="s">
        <v>26</v>
      </c>
    </row>
    <row r="5" spans="1:8" x14ac:dyDescent="0.25">
      <c r="A5" s="2">
        <v>300</v>
      </c>
      <c r="B5" t="e" vm="1">
        <v>#VALUE!</v>
      </c>
      <c r="C5" t="s">
        <v>12</v>
      </c>
      <c r="D5" s="1">
        <v>3000</v>
      </c>
      <c r="E5" s="1" cm="1">
        <f t="array" ref="E5">_FV(B5,"Preço")</f>
        <v>15.13</v>
      </c>
      <c r="F5" s="3">
        <f>D5/A5</f>
        <v>10</v>
      </c>
      <c r="G5" s="4">
        <f>(E5*A5)-(F5*A5)</f>
        <v>1539</v>
      </c>
      <c r="H5" s="3">
        <f>Tabela1[[#This Row],[VALOR INVESTIDO]]+Tabela1[[#This Row],[LUCRO OU PREJUIZO]]</f>
        <v>4539</v>
      </c>
    </row>
    <row r="6" spans="1:8" x14ac:dyDescent="0.25">
      <c r="A6" s="2">
        <v>150</v>
      </c>
      <c r="B6" t="e" vm="2">
        <v>#VALUE!</v>
      </c>
      <c r="C6" t="s">
        <v>12</v>
      </c>
      <c r="D6" s="1">
        <v>5000</v>
      </c>
      <c r="E6" s="1" cm="1">
        <f t="array" ref="E6">_FV(B6,"Preço")</f>
        <v>31.5</v>
      </c>
      <c r="F6" s="3">
        <f>D6/A6</f>
        <v>33.333333333333336</v>
      </c>
      <c r="G6" s="4">
        <f t="shared" ref="G6:G7" si="0">(E6*A6)-(F6*A6)</f>
        <v>-275</v>
      </c>
      <c r="H6" s="3">
        <f>Tabela1[[#This Row],[VALOR INVESTIDO]]+Tabela1[[#This Row],[LUCRO OU PREJUIZO]]</f>
        <v>4725</v>
      </c>
    </row>
    <row r="7" spans="1:8" x14ac:dyDescent="0.25">
      <c r="A7" s="2">
        <v>100</v>
      </c>
      <c r="B7" t="e" vm="3">
        <v>#VALUE!</v>
      </c>
      <c r="C7" t="s">
        <v>12</v>
      </c>
      <c r="D7" s="1">
        <v>2000</v>
      </c>
      <c r="E7" s="1" cm="1">
        <f t="array" ref="E7">_FV(B7,"Preço")</f>
        <v>36.85</v>
      </c>
      <c r="F7" s="3">
        <f>D7/A7</f>
        <v>20</v>
      </c>
      <c r="G7" s="4">
        <f t="shared" si="0"/>
        <v>1685</v>
      </c>
      <c r="H7" s="3">
        <f>Tabela1[[#This Row],[VALOR INVESTIDO]]+Tabela1[[#This Row],[LUCRO OU PREJUIZO]]</f>
        <v>3685</v>
      </c>
    </row>
    <row r="8" spans="1:8" x14ac:dyDescent="0.25">
      <c r="A8" s="2">
        <v>150</v>
      </c>
      <c r="B8" t="e" vm="4">
        <v>#VALUE!</v>
      </c>
      <c r="C8" t="s">
        <v>13</v>
      </c>
      <c r="D8" s="1">
        <v>18000</v>
      </c>
      <c r="E8" s="1" cm="1">
        <f t="array" ref="E8">_FV(B8,"Preço")</f>
        <v>132.5</v>
      </c>
      <c r="F8" s="3">
        <f>D8/A8</f>
        <v>120</v>
      </c>
      <c r="G8" s="4">
        <f>(E8*A8)-(F8*A8)</f>
        <v>1875</v>
      </c>
      <c r="H8" s="3">
        <f>Tabela1[[#This Row],[VALOR INVESTIDO]]+Tabela1[[#This Row],[LUCRO OU PREJUIZO]]</f>
        <v>19875</v>
      </c>
    </row>
    <row r="10" spans="1:8" x14ac:dyDescent="0.25">
      <c r="A10" s="31" t="s">
        <v>27</v>
      </c>
      <c r="B10" s="31"/>
      <c r="C10" s="31"/>
      <c r="D10" s="31"/>
    </row>
    <row r="11" spans="1:8" x14ac:dyDescent="0.25">
      <c r="A11" s="18" t="s">
        <v>0</v>
      </c>
      <c r="B11" s="19" t="s">
        <v>3</v>
      </c>
      <c r="C11" s="19" t="s">
        <v>15</v>
      </c>
      <c r="D11" s="20" t="s">
        <v>28</v>
      </c>
    </row>
    <row r="12" spans="1:8" x14ac:dyDescent="0.25">
      <c r="A12" s="16">
        <v>45292</v>
      </c>
      <c r="B12" s="9" t="e" vm="1">
        <v>#VALUE!</v>
      </c>
      <c r="C12">
        <v>800</v>
      </c>
      <c r="D12" t="s">
        <v>30</v>
      </c>
    </row>
    <row r="13" spans="1:8" x14ac:dyDescent="0.25">
      <c r="A13" s="17">
        <v>45292</v>
      </c>
      <c r="B13" s="10" t="e" vm="2">
        <v>#VALUE!</v>
      </c>
      <c r="C13">
        <v>900</v>
      </c>
      <c r="D13" t="s">
        <v>30</v>
      </c>
    </row>
    <row r="14" spans="1:8" x14ac:dyDescent="0.25">
      <c r="A14" s="16">
        <v>45292</v>
      </c>
      <c r="B14" s="9" t="e" vm="3">
        <v>#VALUE!</v>
      </c>
      <c r="C14">
        <v>100</v>
      </c>
      <c r="D14" t="s">
        <v>30</v>
      </c>
    </row>
    <row r="15" spans="1:8" x14ac:dyDescent="0.25">
      <c r="A15" s="17">
        <v>45292</v>
      </c>
      <c r="B15" s="10" t="e" vm="4">
        <v>#VALUE!</v>
      </c>
      <c r="C15">
        <v>3500</v>
      </c>
      <c r="D15" t="s">
        <v>30</v>
      </c>
    </row>
    <row r="16" spans="1:8" x14ac:dyDescent="0.25">
      <c r="A16" s="16">
        <v>45323</v>
      </c>
      <c r="B16" s="9" t="e" vm="1">
        <v>#VALUE!</v>
      </c>
      <c r="C16">
        <v>300</v>
      </c>
      <c r="D16" t="s">
        <v>30</v>
      </c>
    </row>
    <row r="17" spans="1:4" x14ac:dyDescent="0.25">
      <c r="A17" s="17">
        <v>45323</v>
      </c>
      <c r="B17" s="10" t="e" vm="2">
        <v>#VALUE!</v>
      </c>
      <c r="C17">
        <v>500</v>
      </c>
      <c r="D17" t="s">
        <v>30</v>
      </c>
    </row>
    <row r="18" spans="1:4" x14ac:dyDescent="0.25">
      <c r="A18" s="16">
        <v>45323</v>
      </c>
      <c r="B18" s="9" t="e" vm="3">
        <v>#VALUE!</v>
      </c>
      <c r="C18">
        <v>350</v>
      </c>
      <c r="D18" t="s">
        <v>30</v>
      </c>
    </row>
    <row r="19" spans="1:4" x14ac:dyDescent="0.25">
      <c r="A19" s="17">
        <v>45323</v>
      </c>
      <c r="B19" s="10" t="e" vm="4">
        <v>#VALUE!</v>
      </c>
      <c r="C19">
        <v>2500</v>
      </c>
      <c r="D19" t="s">
        <v>30</v>
      </c>
    </row>
    <row r="20" spans="1:4" x14ac:dyDescent="0.25">
      <c r="A20" s="16">
        <v>45352</v>
      </c>
      <c r="B20" s="9" t="e" vm="1">
        <v>#VALUE!</v>
      </c>
      <c r="C20">
        <v>500</v>
      </c>
      <c r="D20" t="s">
        <v>30</v>
      </c>
    </row>
    <row r="21" spans="1:4" x14ac:dyDescent="0.25">
      <c r="A21" s="17">
        <v>45352</v>
      </c>
      <c r="B21" s="10" t="e" vm="2">
        <v>#VALUE!</v>
      </c>
      <c r="C21">
        <v>470</v>
      </c>
      <c r="D21" t="s">
        <v>30</v>
      </c>
    </row>
    <row r="22" spans="1:4" x14ac:dyDescent="0.25">
      <c r="A22" s="16">
        <v>45352</v>
      </c>
      <c r="B22" s="9" t="e" vm="3">
        <v>#VALUE!</v>
      </c>
      <c r="C22">
        <v>200</v>
      </c>
      <c r="D22" t="s">
        <v>30</v>
      </c>
    </row>
    <row r="23" spans="1:4" x14ac:dyDescent="0.25">
      <c r="A23" s="17">
        <v>45352</v>
      </c>
      <c r="B23" s="10" t="e" vm="4">
        <v>#VALUE!</v>
      </c>
      <c r="C23">
        <v>4500</v>
      </c>
      <c r="D23" t="s">
        <v>30</v>
      </c>
    </row>
    <row r="24" spans="1:4" x14ac:dyDescent="0.25">
      <c r="A24" s="16">
        <v>45383</v>
      </c>
      <c r="B24" s="9" t="e" vm="1">
        <v>#VALUE!</v>
      </c>
      <c r="C24">
        <v>800</v>
      </c>
      <c r="D24" t="s">
        <v>30</v>
      </c>
    </row>
    <row r="25" spans="1:4" x14ac:dyDescent="0.25">
      <c r="A25" s="17">
        <v>45383</v>
      </c>
      <c r="B25" s="10" t="e" vm="2">
        <v>#VALUE!</v>
      </c>
      <c r="C25">
        <v>1500</v>
      </c>
      <c r="D25" t="s">
        <v>30</v>
      </c>
    </row>
    <row r="26" spans="1:4" x14ac:dyDescent="0.25">
      <c r="A26" s="16">
        <v>45383</v>
      </c>
      <c r="B26" s="9" t="e" vm="3">
        <v>#VALUE!</v>
      </c>
      <c r="C26">
        <v>150</v>
      </c>
      <c r="D26" t="s">
        <v>30</v>
      </c>
    </row>
    <row r="27" spans="1:4" x14ac:dyDescent="0.25">
      <c r="A27" s="17">
        <v>45383</v>
      </c>
      <c r="B27" s="10" t="e" vm="4">
        <v>#VALUE!</v>
      </c>
      <c r="C27">
        <v>3500</v>
      </c>
      <c r="D27" t="s">
        <v>30</v>
      </c>
    </row>
    <row r="28" spans="1:4" x14ac:dyDescent="0.25">
      <c r="A28" s="16">
        <v>45413</v>
      </c>
      <c r="B28" s="9" t="e" vm="1">
        <v>#VALUE!</v>
      </c>
      <c r="C28">
        <v>200</v>
      </c>
      <c r="D28" t="s">
        <v>30</v>
      </c>
    </row>
    <row r="29" spans="1:4" x14ac:dyDescent="0.25">
      <c r="A29" s="17">
        <v>45413</v>
      </c>
      <c r="B29" s="10" t="e" vm="2">
        <v>#VALUE!</v>
      </c>
      <c r="C29">
        <v>700</v>
      </c>
      <c r="D29" t="s">
        <v>30</v>
      </c>
    </row>
    <row r="30" spans="1:4" x14ac:dyDescent="0.25">
      <c r="A30" s="16">
        <v>45413</v>
      </c>
      <c r="B30" s="9" t="e" vm="3">
        <v>#VALUE!</v>
      </c>
      <c r="C30">
        <v>720</v>
      </c>
      <c r="D30" t="s">
        <v>30</v>
      </c>
    </row>
    <row r="31" spans="1:4" x14ac:dyDescent="0.25">
      <c r="A31" s="17">
        <v>45413</v>
      </c>
      <c r="B31" s="10" t="e" vm="4">
        <v>#VALUE!</v>
      </c>
      <c r="C31">
        <v>2000</v>
      </c>
      <c r="D31" t="s">
        <v>30</v>
      </c>
    </row>
    <row r="32" spans="1:4" x14ac:dyDescent="0.25">
      <c r="A32" s="16">
        <v>45444</v>
      </c>
      <c r="B32" s="9" t="e" vm="1">
        <v>#VALUE!</v>
      </c>
      <c r="C32">
        <v>400</v>
      </c>
      <c r="D32" t="s">
        <v>30</v>
      </c>
    </row>
    <row r="33" spans="1:4" x14ac:dyDescent="0.25">
      <c r="A33" s="17">
        <v>45444</v>
      </c>
      <c r="B33" s="10" t="e" vm="2">
        <v>#VALUE!</v>
      </c>
      <c r="C33">
        <v>930</v>
      </c>
      <c r="D33" t="s">
        <v>30</v>
      </c>
    </row>
    <row r="34" spans="1:4" x14ac:dyDescent="0.25">
      <c r="A34" s="16">
        <v>45444</v>
      </c>
      <c r="B34" s="9" t="e" vm="3">
        <v>#VALUE!</v>
      </c>
      <c r="C34">
        <v>480</v>
      </c>
      <c r="D34" t="s">
        <v>30</v>
      </c>
    </row>
    <row r="35" spans="1:4" x14ac:dyDescent="0.25">
      <c r="A35" s="17">
        <v>45444</v>
      </c>
      <c r="B35" s="10" t="e" vm="4">
        <v>#VALUE!</v>
      </c>
      <c r="C35">
        <v>2000</v>
      </c>
      <c r="D35" t="s">
        <v>30</v>
      </c>
    </row>
  </sheetData>
  <mergeCells count="3">
    <mergeCell ref="A1:H1"/>
    <mergeCell ref="A10:D10"/>
    <mergeCell ref="A3:H3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42362-9FD2-4866-92D9-B0F1C11FEC37}">
  <sheetPr codeName="Planilha5"/>
  <dimension ref="A1:H49"/>
  <sheetViews>
    <sheetView topLeftCell="B1" workbookViewId="0">
      <selection activeCell="F10" sqref="F10"/>
    </sheetView>
  </sheetViews>
  <sheetFormatPr defaultRowHeight="15" x14ac:dyDescent="0.25"/>
  <cols>
    <col min="1" max="1" width="10.28515625" bestFit="1" customWidth="1"/>
    <col min="2" max="2" width="56.7109375" bestFit="1" customWidth="1"/>
    <col min="3" max="3" width="19.85546875" bestFit="1" customWidth="1"/>
    <col min="4" max="4" width="18" bestFit="1" customWidth="1"/>
    <col min="7" max="7" width="54.28515625" bestFit="1" customWidth="1"/>
    <col min="8" max="8" width="26" bestFit="1" customWidth="1"/>
  </cols>
  <sheetData>
    <row r="1" spans="1:8" x14ac:dyDescent="0.25">
      <c r="A1" s="13" t="s">
        <v>0</v>
      </c>
      <c r="B1" t="s">
        <v>3</v>
      </c>
      <c r="C1" t="s">
        <v>15</v>
      </c>
      <c r="D1" t="s">
        <v>28</v>
      </c>
    </row>
    <row r="2" spans="1:8" x14ac:dyDescent="0.25">
      <c r="A2" s="15">
        <v>45292</v>
      </c>
      <c r="B2" t="s">
        <v>6</v>
      </c>
      <c r="C2" s="1">
        <v>500</v>
      </c>
      <c r="D2" s="1" t="s">
        <v>29</v>
      </c>
    </row>
    <row r="3" spans="1:8" x14ac:dyDescent="0.25">
      <c r="A3" s="15">
        <v>45292</v>
      </c>
      <c r="B3" t="s">
        <v>7</v>
      </c>
      <c r="C3" s="1">
        <v>800</v>
      </c>
      <c r="D3" s="1" t="s">
        <v>29</v>
      </c>
      <c r="G3" s="11" t="s">
        <v>19</v>
      </c>
      <c r="H3" t="s">
        <v>25</v>
      </c>
    </row>
    <row r="4" spans="1:8" x14ac:dyDescent="0.25">
      <c r="A4" s="15">
        <v>45292</v>
      </c>
      <c r="B4" t="s">
        <v>8</v>
      </c>
      <c r="C4" s="1">
        <v>100</v>
      </c>
      <c r="D4" s="1" t="s">
        <v>29</v>
      </c>
      <c r="G4" s="12" t="s">
        <v>20</v>
      </c>
      <c r="H4" s="3">
        <v>3000</v>
      </c>
    </row>
    <row r="5" spans="1:8" x14ac:dyDescent="0.25">
      <c r="A5" s="15">
        <v>45292</v>
      </c>
      <c r="B5" t="s">
        <v>9</v>
      </c>
      <c r="C5" s="1">
        <v>10000</v>
      </c>
      <c r="D5" s="1" t="s">
        <v>29</v>
      </c>
      <c r="G5" s="12" t="s">
        <v>6</v>
      </c>
      <c r="H5" s="3">
        <v>3000</v>
      </c>
    </row>
    <row r="6" spans="1:8" x14ac:dyDescent="0.25">
      <c r="A6" s="15">
        <v>45292</v>
      </c>
      <c r="B6" t="e" vm="1">
        <v>#VALUE!</v>
      </c>
      <c r="C6" s="1">
        <v>800</v>
      </c>
      <c r="D6" s="1" t="s">
        <v>30</v>
      </c>
      <c r="G6" s="12" t="s">
        <v>8</v>
      </c>
      <c r="H6" s="3">
        <v>2000</v>
      </c>
    </row>
    <row r="7" spans="1:8" x14ac:dyDescent="0.25">
      <c r="A7" s="15">
        <v>45292</v>
      </c>
      <c r="B7" t="e" vm="2">
        <v>#VALUE!</v>
      </c>
      <c r="C7" s="1">
        <v>900</v>
      </c>
      <c r="D7" s="1" t="s">
        <v>30</v>
      </c>
      <c r="G7" s="12" t="s">
        <v>21</v>
      </c>
      <c r="H7" s="3">
        <v>18000</v>
      </c>
    </row>
    <row r="8" spans="1:8" x14ac:dyDescent="0.25">
      <c r="A8" s="15">
        <v>45292</v>
      </c>
      <c r="B8" t="e" vm="3">
        <v>#VALUE!</v>
      </c>
      <c r="C8" s="1">
        <v>100</v>
      </c>
      <c r="D8" s="1" t="s">
        <v>30</v>
      </c>
      <c r="G8" s="12" t="s">
        <v>9</v>
      </c>
      <c r="H8" s="3">
        <v>50000</v>
      </c>
    </row>
    <row r="9" spans="1:8" x14ac:dyDescent="0.25">
      <c r="A9" s="15">
        <v>45292</v>
      </c>
      <c r="B9" t="e" vm="4">
        <v>#VALUE!</v>
      </c>
      <c r="C9" s="1">
        <v>3500</v>
      </c>
      <c r="D9" s="1" t="s">
        <v>30</v>
      </c>
      <c r="G9" s="12" t="s">
        <v>22</v>
      </c>
      <c r="H9" s="3">
        <v>5000</v>
      </c>
    </row>
    <row r="10" spans="1:8" x14ac:dyDescent="0.25">
      <c r="A10" s="15">
        <v>45323</v>
      </c>
      <c r="B10" t="s">
        <v>6</v>
      </c>
      <c r="C10" s="1">
        <v>700</v>
      </c>
      <c r="D10" s="1" t="s">
        <v>29</v>
      </c>
      <c r="G10" s="12" t="s">
        <v>7</v>
      </c>
      <c r="H10" s="3">
        <v>5000</v>
      </c>
    </row>
    <row r="11" spans="1:8" x14ac:dyDescent="0.25">
      <c r="A11" s="15">
        <v>45323</v>
      </c>
      <c r="B11" t="s">
        <v>7</v>
      </c>
      <c r="C11" s="1">
        <v>1000</v>
      </c>
      <c r="D11" s="1" t="s">
        <v>29</v>
      </c>
      <c r="G11" s="12" t="s">
        <v>23</v>
      </c>
      <c r="H11" s="3">
        <v>2000</v>
      </c>
    </row>
    <row r="12" spans="1:8" x14ac:dyDescent="0.25">
      <c r="A12" s="15">
        <v>45323</v>
      </c>
      <c r="B12" t="s">
        <v>8</v>
      </c>
      <c r="C12" s="1">
        <v>250</v>
      </c>
      <c r="D12" s="1" t="s">
        <v>29</v>
      </c>
      <c r="G12" s="12" t="s">
        <v>24</v>
      </c>
      <c r="H12" s="3">
        <v>88000</v>
      </c>
    </row>
    <row r="13" spans="1:8" x14ac:dyDescent="0.25">
      <c r="A13" s="15">
        <v>45323</v>
      </c>
      <c r="B13" t="s">
        <v>9</v>
      </c>
      <c r="C13" s="1">
        <v>10000</v>
      </c>
      <c r="D13" s="1" t="s">
        <v>29</v>
      </c>
    </row>
    <row r="14" spans="1:8" x14ac:dyDescent="0.25">
      <c r="A14" s="15">
        <v>45323</v>
      </c>
      <c r="B14" t="e" vm="1">
        <v>#VALUE!</v>
      </c>
      <c r="C14" s="1">
        <v>300</v>
      </c>
      <c r="D14" s="1" t="s">
        <v>30</v>
      </c>
    </row>
    <row r="15" spans="1:8" x14ac:dyDescent="0.25">
      <c r="A15" s="15">
        <v>45323</v>
      </c>
      <c r="B15" t="e" vm="2">
        <v>#VALUE!</v>
      </c>
      <c r="C15" s="1">
        <v>500</v>
      </c>
      <c r="D15" s="1" t="s">
        <v>30</v>
      </c>
    </row>
    <row r="16" spans="1:8" x14ac:dyDescent="0.25">
      <c r="A16" s="15">
        <v>45323</v>
      </c>
      <c r="B16" t="e" vm="3">
        <v>#VALUE!</v>
      </c>
      <c r="C16" s="1">
        <v>350</v>
      </c>
      <c r="D16" s="1" t="s">
        <v>30</v>
      </c>
    </row>
    <row r="17" spans="1:8" x14ac:dyDescent="0.25">
      <c r="A17" s="15">
        <v>45323</v>
      </c>
      <c r="B17" t="e" vm="4">
        <v>#VALUE!</v>
      </c>
      <c r="C17" s="1">
        <v>2500</v>
      </c>
      <c r="D17" s="1" t="s">
        <v>30</v>
      </c>
    </row>
    <row r="18" spans="1:8" x14ac:dyDescent="0.25">
      <c r="A18" s="15">
        <v>45352</v>
      </c>
      <c r="B18" t="s">
        <v>6</v>
      </c>
      <c r="C18" s="1">
        <v>400</v>
      </c>
      <c r="D18" s="1" t="s">
        <v>29</v>
      </c>
      <c r="G18" s="25" t="s">
        <v>1</v>
      </c>
      <c r="H18" s="26" t="s">
        <v>2</v>
      </c>
    </row>
    <row r="19" spans="1:8" x14ac:dyDescent="0.25">
      <c r="A19" s="15">
        <v>45352</v>
      </c>
      <c r="B19" t="s">
        <v>7</v>
      </c>
      <c r="C19" s="1">
        <v>1500</v>
      </c>
      <c r="D19" s="1" t="s">
        <v>29</v>
      </c>
    </row>
    <row r="20" spans="1:8" x14ac:dyDescent="0.25">
      <c r="A20" s="15">
        <v>45352</v>
      </c>
      <c r="B20" t="s">
        <v>8</v>
      </c>
      <c r="C20" s="1">
        <v>150</v>
      </c>
      <c r="D20" s="1" t="s">
        <v>29</v>
      </c>
      <c r="G20" s="24" t="s">
        <v>4</v>
      </c>
      <c r="H20" s="29">
        <f>GETPIVOTDATA("VALOR INVESTIDO",$G$3)</f>
        <v>88000</v>
      </c>
    </row>
    <row r="21" spans="1:8" x14ac:dyDescent="0.25">
      <c r="A21" s="15">
        <v>45352</v>
      </c>
      <c r="B21" t="s">
        <v>9</v>
      </c>
      <c r="C21" s="1">
        <v>10000</v>
      </c>
      <c r="D21" s="1" t="s">
        <v>29</v>
      </c>
      <c r="G21" s="27" t="s">
        <v>5</v>
      </c>
      <c r="H21" s="28">
        <v>500000</v>
      </c>
    </row>
    <row r="22" spans="1:8" x14ac:dyDescent="0.25">
      <c r="A22" s="15">
        <v>45352</v>
      </c>
      <c r="B22" t="e" vm="1">
        <v>#VALUE!</v>
      </c>
      <c r="C22" s="1">
        <v>500</v>
      </c>
      <c r="D22" s="1" t="s">
        <v>30</v>
      </c>
    </row>
    <row r="23" spans="1:8" x14ac:dyDescent="0.25">
      <c r="A23" s="15">
        <v>45352</v>
      </c>
      <c r="B23" t="e" vm="2">
        <v>#VALUE!</v>
      </c>
      <c r="C23" s="1">
        <v>470</v>
      </c>
      <c r="D23" s="1" t="s">
        <v>30</v>
      </c>
    </row>
    <row r="24" spans="1:8" x14ac:dyDescent="0.25">
      <c r="A24" s="15">
        <v>45352</v>
      </c>
      <c r="B24" t="e" vm="3">
        <v>#VALUE!</v>
      </c>
      <c r="C24" s="1">
        <v>200</v>
      </c>
      <c r="D24" s="1" t="s">
        <v>30</v>
      </c>
    </row>
    <row r="25" spans="1:8" x14ac:dyDescent="0.25">
      <c r="A25" s="15">
        <v>45352</v>
      </c>
      <c r="B25" t="e" vm="4">
        <v>#VALUE!</v>
      </c>
      <c r="C25" s="1">
        <v>4500</v>
      </c>
      <c r="D25" s="1" t="s">
        <v>30</v>
      </c>
    </row>
    <row r="26" spans="1:8" x14ac:dyDescent="0.25">
      <c r="A26" s="15">
        <v>45383</v>
      </c>
      <c r="B26" t="s">
        <v>6</v>
      </c>
      <c r="C26" s="1">
        <v>800</v>
      </c>
      <c r="D26" s="1" t="s">
        <v>29</v>
      </c>
    </row>
    <row r="27" spans="1:8" x14ac:dyDescent="0.25">
      <c r="A27" s="15">
        <v>45383</v>
      </c>
      <c r="B27" t="s">
        <v>7</v>
      </c>
      <c r="C27" s="1">
        <v>500</v>
      </c>
      <c r="D27" s="1" t="s">
        <v>29</v>
      </c>
    </row>
    <row r="28" spans="1:8" x14ac:dyDescent="0.25">
      <c r="A28" s="15">
        <v>45383</v>
      </c>
      <c r="B28" t="s">
        <v>8</v>
      </c>
      <c r="C28" s="1">
        <v>300</v>
      </c>
      <c r="D28" s="1" t="s">
        <v>29</v>
      </c>
    </row>
    <row r="29" spans="1:8" x14ac:dyDescent="0.25">
      <c r="A29" s="15">
        <v>45383</v>
      </c>
      <c r="B29" t="s">
        <v>9</v>
      </c>
      <c r="C29" s="1">
        <v>9000</v>
      </c>
      <c r="D29" s="1" t="s">
        <v>29</v>
      </c>
    </row>
    <row r="30" spans="1:8" x14ac:dyDescent="0.25">
      <c r="A30" s="15">
        <v>45383</v>
      </c>
      <c r="B30" t="e" vm="1">
        <v>#VALUE!</v>
      </c>
      <c r="C30" s="1">
        <v>800</v>
      </c>
      <c r="D30" s="1" t="s">
        <v>30</v>
      </c>
    </row>
    <row r="31" spans="1:8" x14ac:dyDescent="0.25">
      <c r="A31" s="15">
        <v>45383</v>
      </c>
      <c r="B31" t="e" vm="2">
        <v>#VALUE!</v>
      </c>
      <c r="C31" s="1">
        <v>1500</v>
      </c>
      <c r="D31" s="1" t="s">
        <v>30</v>
      </c>
    </row>
    <row r="32" spans="1:8" x14ac:dyDescent="0.25">
      <c r="A32" s="15">
        <v>45383</v>
      </c>
      <c r="B32" t="e" vm="3">
        <v>#VALUE!</v>
      </c>
      <c r="C32" s="1">
        <v>150</v>
      </c>
      <c r="D32" s="1" t="s">
        <v>30</v>
      </c>
    </row>
    <row r="33" spans="1:4" x14ac:dyDescent="0.25">
      <c r="A33" s="15">
        <v>45383</v>
      </c>
      <c r="B33" t="e" vm="4">
        <v>#VALUE!</v>
      </c>
      <c r="C33" s="1">
        <v>3500</v>
      </c>
      <c r="D33" s="1" t="s">
        <v>30</v>
      </c>
    </row>
    <row r="34" spans="1:4" x14ac:dyDescent="0.25">
      <c r="A34" s="15">
        <v>45413</v>
      </c>
      <c r="B34" t="s">
        <v>6</v>
      </c>
      <c r="C34" s="1">
        <v>300</v>
      </c>
      <c r="D34" s="1" t="s">
        <v>29</v>
      </c>
    </row>
    <row r="35" spans="1:4" x14ac:dyDescent="0.25">
      <c r="A35" s="15">
        <v>45413</v>
      </c>
      <c r="B35" t="s">
        <v>7</v>
      </c>
      <c r="C35" s="1">
        <v>200</v>
      </c>
      <c r="D35" s="1" t="s">
        <v>29</v>
      </c>
    </row>
    <row r="36" spans="1:4" x14ac:dyDescent="0.25">
      <c r="A36" s="15">
        <v>45413</v>
      </c>
      <c r="B36" t="s">
        <v>8</v>
      </c>
      <c r="C36" s="1">
        <v>600</v>
      </c>
      <c r="D36" s="1" t="s">
        <v>29</v>
      </c>
    </row>
    <row r="37" spans="1:4" x14ac:dyDescent="0.25">
      <c r="A37" s="15">
        <v>45413</v>
      </c>
      <c r="B37" t="s">
        <v>9</v>
      </c>
      <c r="C37" s="1">
        <v>6000</v>
      </c>
      <c r="D37" s="1" t="s">
        <v>29</v>
      </c>
    </row>
    <row r="38" spans="1:4" x14ac:dyDescent="0.25">
      <c r="A38" s="15">
        <v>45413</v>
      </c>
      <c r="B38" t="e" vm="1">
        <v>#VALUE!</v>
      </c>
      <c r="C38" s="1">
        <v>200</v>
      </c>
      <c r="D38" s="1" t="s">
        <v>30</v>
      </c>
    </row>
    <row r="39" spans="1:4" x14ac:dyDescent="0.25">
      <c r="A39" s="15">
        <v>45413</v>
      </c>
      <c r="B39" t="e" vm="2">
        <v>#VALUE!</v>
      </c>
      <c r="C39" s="1">
        <v>700</v>
      </c>
      <c r="D39" s="1" t="s">
        <v>30</v>
      </c>
    </row>
    <row r="40" spans="1:4" x14ac:dyDescent="0.25">
      <c r="A40" s="15">
        <v>45413</v>
      </c>
      <c r="B40" t="e" vm="3">
        <v>#VALUE!</v>
      </c>
      <c r="C40" s="1">
        <v>720</v>
      </c>
      <c r="D40" s="1" t="s">
        <v>30</v>
      </c>
    </row>
    <row r="41" spans="1:4" x14ac:dyDescent="0.25">
      <c r="A41" s="15">
        <v>45413</v>
      </c>
      <c r="B41" t="e" vm="4">
        <v>#VALUE!</v>
      </c>
      <c r="C41" s="1">
        <v>2000</v>
      </c>
      <c r="D41" s="1" t="s">
        <v>30</v>
      </c>
    </row>
    <row r="42" spans="1:4" x14ac:dyDescent="0.25">
      <c r="A42" s="15">
        <v>45444</v>
      </c>
      <c r="B42" t="s">
        <v>6</v>
      </c>
      <c r="C42" s="1">
        <v>300</v>
      </c>
      <c r="D42" s="1" t="s">
        <v>29</v>
      </c>
    </row>
    <row r="43" spans="1:4" x14ac:dyDescent="0.25">
      <c r="A43" s="15">
        <v>45444</v>
      </c>
      <c r="B43" t="s">
        <v>7</v>
      </c>
      <c r="C43" s="1">
        <v>1000</v>
      </c>
      <c r="D43" s="1" t="s">
        <v>29</v>
      </c>
    </row>
    <row r="44" spans="1:4" x14ac:dyDescent="0.25">
      <c r="A44" s="15">
        <v>45444</v>
      </c>
      <c r="B44" t="s">
        <v>8</v>
      </c>
      <c r="C44" s="1">
        <v>600</v>
      </c>
      <c r="D44" s="1" t="s">
        <v>29</v>
      </c>
    </row>
    <row r="45" spans="1:4" x14ac:dyDescent="0.25">
      <c r="A45" s="15">
        <v>45444</v>
      </c>
      <c r="B45" t="s">
        <v>9</v>
      </c>
      <c r="C45" s="1">
        <v>5000</v>
      </c>
      <c r="D45" s="1" t="s">
        <v>29</v>
      </c>
    </row>
    <row r="46" spans="1:4" x14ac:dyDescent="0.25">
      <c r="A46" s="15">
        <v>45444</v>
      </c>
      <c r="B46" t="e" vm="1">
        <v>#VALUE!</v>
      </c>
      <c r="C46" s="1">
        <v>400</v>
      </c>
      <c r="D46" s="1" t="s">
        <v>30</v>
      </c>
    </row>
    <row r="47" spans="1:4" x14ac:dyDescent="0.25">
      <c r="A47" s="15">
        <v>45444</v>
      </c>
      <c r="B47" t="e" vm="2">
        <v>#VALUE!</v>
      </c>
      <c r="C47" s="1">
        <v>930</v>
      </c>
      <c r="D47" s="1" t="s">
        <v>30</v>
      </c>
    </row>
    <row r="48" spans="1:4" x14ac:dyDescent="0.25">
      <c r="A48" s="15">
        <v>45444</v>
      </c>
      <c r="B48" t="e" vm="3">
        <v>#VALUE!</v>
      </c>
      <c r="C48" s="1">
        <v>480</v>
      </c>
      <c r="D48" s="1" t="s">
        <v>30</v>
      </c>
    </row>
    <row r="49" spans="1:4" x14ac:dyDescent="0.25">
      <c r="A49" s="15">
        <v>45444</v>
      </c>
      <c r="B49" t="e" vm="4">
        <v>#VALUE!</v>
      </c>
      <c r="C49" s="1">
        <v>2000</v>
      </c>
      <c r="D49" s="1" t="s">
        <v>30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</vt:lpstr>
      <vt:lpstr>RF</vt:lpstr>
      <vt:lpstr>RV</vt:lpstr>
      <vt:lpstr>TUDO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Denise Romero</dc:creator>
  <cp:lastModifiedBy>Denise Romero</cp:lastModifiedBy>
  <dcterms:created xsi:type="dcterms:W3CDTF">2024-12-19T09:34:24Z</dcterms:created>
  <dcterms:modified xsi:type="dcterms:W3CDTF">2024-12-20T23:08:03Z</dcterms:modified>
</cp:coreProperties>
</file>